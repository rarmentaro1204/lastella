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ti" sheetId="1" state="visible" r:id="rId1"/>
    <sheet xmlns:r="http://schemas.openxmlformats.org/officeDocument/2006/relationships" name="Tavoli" sheetId="2" state="visible" r:id="rId2"/>
    <sheet xmlns:r="http://schemas.openxmlformats.org/officeDocument/2006/relationships" name="Leggim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23272E"/>
      <sz val="10"/>
    </font>
    <font>
      <color rgb="006B6B6B"/>
      <sz val="9"/>
    </font>
    <font>
      <b val="1"/>
    </font>
    <font>
      <name val="Georgia"/>
      <b val="1"/>
      <color rgb="002E3540"/>
      <sz val="20"/>
    </font>
    <font>
      <color rgb="00A8907A"/>
      <sz val="9"/>
    </font>
    <font>
      <b val="1"/>
      <color rgb="0023272E"/>
      <sz val="14"/>
    </font>
    <font>
      <b val="1"/>
      <color rgb="0023272E"/>
    </font>
    <font>
      <b val="1"/>
      <color rgb="0023272E"/>
      <sz val="12"/>
    </font>
    <font>
      <color rgb="0023272E"/>
    </font>
    <font>
      <b val="1"/>
      <color rgb="002E3540"/>
    </font>
    <font>
      <i val="1"/>
      <color rgb="00A8907A"/>
    </font>
  </fonts>
  <fills count="8">
    <fill>
      <patternFill/>
    </fill>
    <fill>
      <patternFill patternType="gray125"/>
    </fill>
    <fill>
      <patternFill patternType="solid">
        <fgColor rgb="002E3540"/>
        <bgColor rgb="002E3540"/>
      </patternFill>
    </fill>
    <fill>
      <patternFill patternType="solid">
        <fgColor rgb="008FA383"/>
        <bgColor rgb="008FA383"/>
      </patternFill>
    </fill>
    <fill>
      <patternFill patternType="solid">
        <fgColor rgb="00A8907A"/>
        <bgColor rgb="00A8907A"/>
      </patternFill>
    </fill>
    <fill>
      <patternFill patternType="solid">
        <fgColor rgb="00C46A4F"/>
        <bgColor rgb="00C46A4F"/>
      </patternFill>
    </fill>
    <fill>
      <patternFill patternType="solid">
        <fgColor rgb="00D9A441"/>
        <bgColor rgb="00D9A441"/>
      </patternFill>
    </fill>
    <fill>
      <patternFill patternType="solid">
        <fgColor rgb="00E6E2DB"/>
        <bgColor rgb="00E6E2DB"/>
      </patternFill>
    </fill>
  </fills>
  <borders count="2">
    <border>
      <left/>
      <right/>
      <top/>
      <bottom/>
      <diagonal/>
    </border>
    <border>
      <left style="thin">
        <color rgb="00D5CFC5"/>
      </left>
      <right style="thin">
        <color rgb="00D5CFC5"/>
      </right>
      <top style="thin">
        <color rgb="00D5CFC5"/>
      </top>
      <bottom style="thin">
        <color rgb="00D5CF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textRotation="90" wrapText="1"/>
    </xf>
    <xf numFmtId="0" fontId="1" fillId="5" borderId="1" applyAlignment="1" pivotButton="0" quotePrefix="0" xfId="0">
      <alignment horizontal="center" vertical="center" textRotation="90" wrapText="1"/>
    </xf>
    <xf numFmtId="0" fontId="2" fillId="6" borderId="1" applyAlignment="1" pivotButton="0" quotePrefix="0" xfId="0">
      <alignment horizontal="center" vertical="center" textRotation="90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7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/>
    </xf>
    <xf numFmtId="0" fontId="12" fillId="0" borderId="0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C46A4F"/>
          <bgColor rgb="00C46A4F"/>
        </patternFill>
      </fill>
    </dxf>
    <dxf>
      <font>
        <b val="1"/>
        <color rgb="0023272E"/>
      </font>
      <fill>
        <patternFill patternType="solid">
          <fgColor rgb="00D9A441"/>
          <bgColor rgb="00D9A441"/>
        </patternFill>
      </fill>
    </dxf>
    <dxf>
      <font>
        <b val="1"/>
        <color rgb="008A2A12"/>
      </font>
      <fill>
        <patternFill patternType="solid">
          <fgColor rgb="00F2B8A8"/>
          <bgColor rgb="00F2B8A8"/>
        </patternFill>
      </fill>
    </dxf>
    <dxf>
      <font>
        <i val="1"/>
        <color rgb="00B07A1A"/>
      </font>
    </dxf>
    <dxf>
      <fill>
        <patternFill patternType="solid">
          <fgColor rgb="00D9D5CE"/>
          <bgColor rgb="00D9D5CE"/>
        </patternFill>
      </fill>
    </dxf>
    <dxf>
      <font>
        <b val="1"/>
        <color rgb="003E5A32"/>
      </font>
      <fill>
        <patternFill patternType="solid">
          <fgColor rgb="00DCE8D5"/>
          <bgColor rgb="00DCE8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3540"/>
    <outlinePr summaryBelow="1" summaryRight="1"/>
    <pageSetUpPr/>
  </sheetPr>
  <dimension ref="A1:AE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5" customWidth="1" min="4" max="4"/>
    <col width="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28" customWidth="1" min="28" max="28"/>
    <col width="28" customWidth="1" min="29" max="29"/>
    <col width="24" customWidth="1" min="30" max="30"/>
    <col width="14" customWidth="1" min="31" max="31"/>
  </cols>
  <sheetData>
    <row r="1" ht="130" customHeight="1">
      <c r="A1" s="1" t="inlineStr">
        <is>
          <t>Nome</t>
        </is>
      </c>
      <c r="B1" s="1" t="inlineStr">
        <is>
          <t>Cognome</t>
        </is>
      </c>
      <c r="C1" s="1" t="inlineStr">
        <is>
          <t>Fascia</t>
        </is>
      </c>
      <c r="D1" s="2" t="inlineStr">
        <is>
          <t>Dieta</t>
        </is>
      </c>
      <c r="E1" s="3" t="inlineStr">
        <is>
          <t>Seggiolone</t>
        </is>
      </c>
      <c r="F1" s="4" t="inlineStr">
        <is>
          <t>Allergia – Glutine (cereali)</t>
        </is>
      </c>
      <c r="G1" s="4" t="inlineStr">
        <is>
          <t>Allergia – Crostacei</t>
        </is>
      </c>
      <c r="H1" s="4" t="inlineStr">
        <is>
          <t>Allergia – Uova</t>
        </is>
      </c>
      <c r="I1" s="4" t="inlineStr">
        <is>
          <t>Allergia – Pesce</t>
        </is>
      </c>
      <c r="J1" s="4" t="inlineStr">
        <is>
          <t>Allergia – Arachidi</t>
        </is>
      </c>
      <c r="K1" s="4" t="inlineStr">
        <is>
          <t>Allergia – Soia</t>
        </is>
      </c>
      <c r="L1" s="4" t="inlineStr">
        <is>
          <t>Allergia – Latte e derivati</t>
        </is>
      </c>
      <c r="M1" s="4" t="inlineStr">
        <is>
          <t>Allergia – Frutta a guscio</t>
        </is>
      </c>
      <c r="N1" s="4" t="inlineStr">
        <is>
          <t>Allergia – Sedano</t>
        </is>
      </c>
      <c r="O1" s="4" t="inlineStr">
        <is>
          <t>Allergia – Senape</t>
        </is>
      </c>
      <c r="P1" s="4" t="inlineStr">
        <is>
          <t>Allergia – Sesamo</t>
        </is>
      </c>
      <c r="Q1" s="4" t="inlineStr">
        <is>
          <t>Allergia – Solfiti</t>
        </is>
      </c>
      <c r="R1" s="4" t="inlineStr">
        <is>
          <t>Allergia – Lupini</t>
        </is>
      </c>
      <c r="S1" s="4" t="inlineStr">
        <is>
          <t>Allergia – Molluschi</t>
        </is>
      </c>
      <c r="T1" s="5" t="inlineStr">
        <is>
          <t>Intolleranza – Celiachia</t>
        </is>
      </c>
      <c r="U1" s="5" t="inlineStr">
        <is>
          <t>Intolleranza – Lattosio</t>
        </is>
      </c>
      <c r="V1" s="5" t="inlineStr">
        <is>
          <t>Intolleranza – Nichel</t>
        </is>
      </c>
      <c r="W1" s="5" t="inlineStr">
        <is>
          <t>Intolleranza – Istamina</t>
        </is>
      </c>
      <c r="X1" s="5" t="inlineStr">
        <is>
          <t>Intolleranza – Fruttosio</t>
        </is>
      </c>
      <c r="Y1" s="5" t="inlineStr">
        <is>
          <t>Intolleranza – Favismo</t>
        </is>
      </c>
      <c r="Z1" s="5" t="inlineStr">
        <is>
          <t>Intolleranza – Gravidanza</t>
        </is>
      </c>
      <c r="AA1" s="5" t="inlineStr">
        <is>
          <t>Intolleranza – Funghi</t>
        </is>
      </c>
      <c r="AB1" s="1" t="inlineStr">
        <is>
          <t>Altre allergie / intolleranze (scrivere)</t>
        </is>
      </c>
      <c r="AC1" s="1" t="inlineStr">
        <is>
          <t>Note per la cucina</t>
        </is>
      </c>
      <c r="AD1" s="6" t="inlineStr">
        <is>
          <t>Nome completo</t>
        </is>
      </c>
      <c r="AE1" s="6" t="inlineStr">
        <is>
          <t>Stato tavolo</t>
        </is>
      </c>
    </row>
    <row r="2">
      <c r="A2" s="7" t="n"/>
      <c r="B2" s="7" t="n"/>
      <c r="C2" s="7" t="n"/>
      <c r="D2" s="7" t="n"/>
      <c r="E2" s="7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7" t="n"/>
      <c r="AC2" s="7" t="n"/>
      <c r="AD2" s="9">
        <f>IF(OR(A2&lt;&gt;"",B2&lt;&gt;""),TRIM(A2&amp;" "&amp;B2),"")</f>
        <v/>
      </c>
      <c r="AE2" s="9">
        <f>IF(AD2="","",IF(COUNTIF(Tavoli!$E$2:$AB$41,AD2)=0,"Da assegnare",IF(COUNTIF(Tavoli!$E$2:$AB$41,AD2)&gt;1,"DUPLICATO","Tavolo "&amp;SUMPRODUCT((Tavoli!$E$2:$AB$41=AD2)*Tavoli!$A$2:$A$41))))</f>
        <v/>
      </c>
    </row>
    <row r="3">
      <c r="A3" s="7" t="n"/>
      <c r="B3" s="7" t="n"/>
      <c r="C3" s="7" t="n"/>
      <c r="D3" s="7" t="n"/>
      <c r="E3" s="7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7" t="n"/>
      <c r="AC3" s="7" t="n"/>
      <c r="AD3" s="9">
        <f>IF(OR(A3&lt;&gt;"",B3&lt;&gt;""),TRIM(A3&amp;" "&amp;B3),"")</f>
        <v/>
      </c>
      <c r="AE3" s="9">
        <f>IF(AD3="","",IF(COUNTIF(Tavoli!$E$2:$AB$41,AD3)=0,"Da assegnare",IF(COUNTIF(Tavoli!$E$2:$AB$41,AD3)&gt;1,"DUPLICATO","Tavolo "&amp;SUMPRODUCT((Tavoli!$E$2:$AB$41=AD3)*Tavoli!$A$2:$A$41))))</f>
        <v/>
      </c>
    </row>
    <row r="4">
      <c r="A4" s="7" t="n"/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7" t="n"/>
      <c r="AC4" s="7" t="n"/>
      <c r="AD4" s="9">
        <f>IF(OR(A4&lt;&gt;"",B4&lt;&gt;""),TRIM(A4&amp;" "&amp;B4),"")</f>
        <v/>
      </c>
      <c r="AE4" s="9">
        <f>IF(AD4="","",IF(COUNTIF(Tavoli!$E$2:$AB$41,AD4)=0,"Da assegnare",IF(COUNTIF(Tavoli!$E$2:$AB$41,AD4)&gt;1,"DUPLICATO","Tavolo "&amp;SUMPRODUCT((Tavoli!$E$2:$AB$41=AD4)*Tavoli!$A$2:$A$41))))</f>
        <v/>
      </c>
    </row>
    <row r="5">
      <c r="A5" s="7" t="n"/>
      <c r="B5" s="7" t="n"/>
      <c r="C5" s="7" t="n"/>
      <c r="D5" s="7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7" t="n"/>
      <c r="AC5" s="7" t="n"/>
      <c r="AD5" s="9">
        <f>IF(OR(A5&lt;&gt;"",B5&lt;&gt;""),TRIM(A5&amp;" "&amp;B5),"")</f>
        <v/>
      </c>
      <c r="AE5" s="9">
        <f>IF(AD5="","",IF(COUNTIF(Tavoli!$E$2:$AB$41,AD5)=0,"Da assegnare",IF(COUNTIF(Tavoli!$E$2:$AB$41,AD5)&gt;1,"DUPLICATO","Tavolo "&amp;SUMPRODUCT((Tavoli!$E$2:$AB$41=AD5)*Tavoli!$A$2:$A$41))))</f>
        <v/>
      </c>
    </row>
    <row r="6">
      <c r="A6" s="7" t="n"/>
      <c r="B6" s="7" t="n"/>
      <c r="C6" s="7" t="n"/>
      <c r="D6" s="7" t="n"/>
      <c r="E6" s="7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7" t="n"/>
      <c r="AC6" s="7" t="n"/>
      <c r="AD6" s="9">
        <f>IF(OR(A6&lt;&gt;"",B6&lt;&gt;""),TRIM(A6&amp;" "&amp;B6),"")</f>
        <v/>
      </c>
      <c r="AE6" s="9">
        <f>IF(AD6="","",IF(COUNTIF(Tavoli!$E$2:$AB$41,AD6)=0,"Da assegnare",IF(COUNTIF(Tavoli!$E$2:$AB$41,AD6)&gt;1,"DUPLICATO","Tavolo "&amp;SUMPRODUCT((Tavoli!$E$2:$AB$41=AD6)*Tavoli!$A$2:$A$41))))</f>
        <v/>
      </c>
    </row>
    <row r="7">
      <c r="A7" s="7" t="n"/>
      <c r="B7" s="7" t="n"/>
      <c r="C7" s="7" t="n"/>
      <c r="D7" s="7" t="n"/>
      <c r="E7" s="7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7" t="n"/>
      <c r="AC7" s="7" t="n"/>
      <c r="AD7" s="9">
        <f>IF(OR(A7&lt;&gt;"",B7&lt;&gt;""),TRIM(A7&amp;" "&amp;B7),"")</f>
        <v/>
      </c>
      <c r="AE7" s="9">
        <f>IF(AD7="","",IF(COUNTIF(Tavoli!$E$2:$AB$41,AD7)=0,"Da assegnare",IF(COUNTIF(Tavoli!$E$2:$AB$41,AD7)&gt;1,"DUPLICATO","Tavolo "&amp;SUMPRODUCT((Tavoli!$E$2:$AB$41=AD7)*Tavoli!$A$2:$A$41))))</f>
        <v/>
      </c>
    </row>
    <row r="8">
      <c r="A8" s="7" t="n"/>
      <c r="B8" s="7" t="n"/>
      <c r="C8" s="7" t="n"/>
      <c r="D8" s="7" t="n"/>
      <c r="E8" s="7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7" t="n"/>
      <c r="AC8" s="7" t="n"/>
      <c r="AD8" s="9">
        <f>IF(OR(A8&lt;&gt;"",B8&lt;&gt;""),TRIM(A8&amp;" "&amp;B8),"")</f>
        <v/>
      </c>
      <c r="AE8" s="9">
        <f>IF(AD8="","",IF(COUNTIF(Tavoli!$E$2:$AB$41,AD8)=0,"Da assegnare",IF(COUNTIF(Tavoli!$E$2:$AB$41,AD8)&gt;1,"DUPLICATO","Tavolo "&amp;SUMPRODUCT((Tavoli!$E$2:$AB$41=AD8)*Tavoli!$A$2:$A$41))))</f>
        <v/>
      </c>
    </row>
    <row r="9">
      <c r="A9" s="7" t="n"/>
      <c r="B9" s="7" t="n"/>
      <c r="C9" s="7" t="n"/>
      <c r="D9" s="7" t="n"/>
      <c r="E9" s="7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7" t="n"/>
      <c r="AC9" s="7" t="n"/>
      <c r="AD9" s="9">
        <f>IF(OR(A9&lt;&gt;"",B9&lt;&gt;""),TRIM(A9&amp;" "&amp;B9),"")</f>
        <v/>
      </c>
      <c r="AE9" s="9">
        <f>IF(AD9="","",IF(COUNTIF(Tavoli!$E$2:$AB$41,AD9)=0,"Da assegnare",IF(COUNTIF(Tavoli!$E$2:$AB$41,AD9)&gt;1,"DUPLICATO","Tavolo "&amp;SUMPRODUCT((Tavoli!$E$2:$AB$41=AD9)*Tavoli!$A$2:$A$41))))</f>
        <v/>
      </c>
    </row>
    <row r="10">
      <c r="A10" s="7" t="n"/>
      <c r="B10" s="7" t="n"/>
      <c r="C10" s="7" t="n"/>
      <c r="D10" s="7" t="n"/>
      <c r="E10" s="7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7" t="n"/>
      <c r="AC10" s="7" t="n"/>
      <c r="AD10" s="9">
        <f>IF(OR(A10&lt;&gt;"",B10&lt;&gt;""),TRIM(A10&amp;" "&amp;B10),"")</f>
        <v/>
      </c>
      <c r="AE10" s="9">
        <f>IF(AD10="","",IF(COUNTIF(Tavoli!$E$2:$AB$41,AD10)=0,"Da assegnare",IF(COUNTIF(Tavoli!$E$2:$AB$41,AD10)&gt;1,"DUPLICATO","Tavolo "&amp;SUMPRODUCT((Tavoli!$E$2:$AB$41=AD10)*Tavoli!$A$2:$A$41))))</f>
        <v/>
      </c>
    </row>
    <row r="11">
      <c r="A11" s="7" t="n"/>
      <c r="B11" s="7" t="n"/>
      <c r="C11" s="7" t="n"/>
      <c r="D11" s="7" t="n"/>
      <c r="E11" s="7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7" t="n"/>
      <c r="AC11" s="7" t="n"/>
      <c r="AD11" s="9">
        <f>IF(OR(A11&lt;&gt;"",B11&lt;&gt;""),TRIM(A11&amp;" "&amp;B11),"")</f>
        <v/>
      </c>
      <c r="AE11" s="9">
        <f>IF(AD11="","",IF(COUNTIF(Tavoli!$E$2:$AB$41,AD11)=0,"Da assegnare",IF(COUNTIF(Tavoli!$E$2:$AB$41,AD11)&gt;1,"DUPLICATO","Tavolo "&amp;SUMPRODUCT((Tavoli!$E$2:$AB$41=AD11)*Tavoli!$A$2:$A$41))))</f>
        <v/>
      </c>
    </row>
    <row r="12">
      <c r="A12" s="7" t="n"/>
      <c r="B12" s="7" t="n"/>
      <c r="C12" s="7" t="n"/>
      <c r="D12" s="7" t="n"/>
      <c r="E12" s="7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7" t="n"/>
      <c r="AC12" s="7" t="n"/>
      <c r="AD12" s="9">
        <f>IF(OR(A12&lt;&gt;"",B12&lt;&gt;""),TRIM(A12&amp;" "&amp;B12),"")</f>
        <v/>
      </c>
      <c r="AE12" s="9">
        <f>IF(AD12="","",IF(COUNTIF(Tavoli!$E$2:$AB$41,AD12)=0,"Da assegnare",IF(COUNTIF(Tavoli!$E$2:$AB$41,AD12)&gt;1,"DUPLICATO","Tavolo "&amp;SUMPRODUCT((Tavoli!$E$2:$AB$41=AD12)*Tavoli!$A$2:$A$41))))</f>
        <v/>
      </c>
    </row>
    <row r="13">
      <c r="A13" s="7" t="n"/>
      <c r="B13" s="7" t="n"/>
      <c r="C13" s="7" t="n"/>
      <c r="D13" s="7" t="n"/>
      <c r="E13" s="7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7" t="n"/>
      <c r="AC13" s="7" t="n"/>
      <c r="AD13" s="9">
        <f>IF(OR(A13&lt;&gt;"",B13&lt;&gt;""),TRIM(A13&amp;" "&amp;B13),"")</f>
        <v/>
      </c>
      <c r="AE13" s="9">
        <f>IF(AD13="","",IF(COUNTIF(Tavoli!$E$2:$AB$41,AD13)=0,"Da assegnare",IF(COUNTIF(Tavoli!$E$2:$AB$41,AD13)&gt;1,"DUPLICATO","Tavolo "&amp;SUMPRODUCT((Tavoli!$E$2:$AB$41=AD13)*Tavoli!$A$2:$A$41))))</f>
        <v/>
      </c>
    </row>
    <row r="14">
      <c r="A14" s="7" t="n"/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7" t="n"/>
      <c r="AC14" s="7" t="n"/>
      <c r="AD14" s="9">
        <f>IF(OR(A14&lt;&gt;"",B14&lt;&gt;""),TRIM(A14&amp;" "&amp;B14),"")</f>
        <v/>
      </c>
      <c r="AE14" s="9">
        <f>IF(AD14="","",IF(COUNTIF(Tavoli!$E$2:$AB$41,AD14)=0,"Da assegnare",IF(COUNTIF(Tavoli!$E$2:$AB$41,AD14)&gt;1,"DUPLICATO","Tavolo "&amp;SUMPRODUCT((Tavoli!$E$2:$AB$41=AD14)*Tavoli!$A$2:$A$41))))</f>
        <v/>
      </c>
    </row>
    <row r="15">
      <c r="A15" s="7" t="n"/>
      <c r="B15" s="7" t="n"/>
      <c r="C15" s="7" t="n"/>
      <c r="D15" s="7" t="n"/>
      <c r="E15" s="7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7" t="n"/>
      <c r="AC15" s="7" t="n"/>
      <c r="AD15" s="9">
        <f>IF(OR(A15&lt;&gt;"",B15&lt;&gt;""),TRIM(A15&amp;" "&amp;B15),"")</f>
        <v/>
      </c>
      <c r="AE15" s="9">
        <f>IF(AD15="","",IF(COUNTIF(Tavoli!$E$2:$AB$41,AD15)=0,"Da assegnare",IF(COUNTIF(Tavoli!$E$2:$AB$41,AD15)&gt;1,"DUPLICATO","Tavolo "&amp;SUMPRODUCT((Tavoli!$E$2:$AB$41=AD15)*Tavoli!$A$2:$A$41))))</f>
        <v/>
      </c>
    </row>
    <row r="16">
      <c r="A16" s="7" t="n"/>
      <c r="B16" s="7" t="n"/>
      <c r="C16" s="7" t="n"/>
      <c r="D16" s="7" t="n"/>
      <c r="E16" s="7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7" t="n"/>
      <c r="AC16" s="7" t="n"/>
      <c r="AD16" s="9">
        <f>IF(OR(A16&lt;&gt;"",B16&lt;&gt;""),TRIM(A16&amp;" "&amp;B16),"")</f>
        <v/>
      </c>
      <c r="AE16" s="9">
        <f>IF(AD16="","",IF(COUNTIF(Tavoli!$E$2:$AB$41,AD16)=0,"Da assegnare",IF(COUNTIF(Tavoli!$E$2:$AB$41,AD16)&gt;1,"DUPLICATO","Tavolo "&amp;SUMPRODUCT((Tavoli!$E$2:$AB$41=AD16)*Tavoli!$A$2:$A$41))))</f>
        <v/>
      </c>
    </row>
    <row r="17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7" t="n"/>
      <c r="AC17" s="7" t="n"/>
      <c r="AD17" s="9">
        <f>IF(OR(A17&lt;&gt;"",B17&lt;&gt;""),TRIM(A17&amp;" "&amp;B17),"")</f>
        <v/>
      </c>
      <c r="AE17" s="9">
        <f>IF(AD17="","",IF(COUNTIF(Tavoli!$E$2:$AB$41,AD17)=0,"Da assegnare",IF(COUNTIF(Tavoli!$E$2:$AB$41,AD17)&gt;1,"DUPLICATO","Tavolo "&amp;SUMPRODUCT((Tavoli!$E$2:$AB$41=AD17)*Tavoli!$A$2:$A$41))))</f>
        <v/>
      </c>
    </row>
    <row r="18">
      <c r="A18" s="7" t="n"/>
      <c r="B18" s="7" t="n"/>
      <c r="C18" s="7" t="n"/>
      <c r="D18" s="7" t="n"/>
      <c r="E18" s="7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7" t="n"/>
      <c r="AC18" s="7" t="n"/>
      <c r="AD18" s="9">
        <f>IF(OR(A18&lt;&gt;"",B18&lt;&gt;""),TRIM(A18&amp;" "&amp;B18),"")</f>
        <v/>
      </c>
      <c r="AE18" s="9">
        <f>IF(AD18="","",IF(COUNTIF(Tavoli!$E$2:$AB$41,AD18)=0,"Da assegnare",IF(COUNTIF(Tavoli!$E$2:$AB$41,AD18)&gt;1,"DUPLICATO","Tavolo "&amp;SUMPRODUCT((Tavoli!$E$2:$AB$41=AD18)*Tavoli!$A$2:$A$41))))</f>
        <v/>
      </c>
    </row>
    <row r="19">
      <c r="A19" s="7" t="n"/>
      <c r="B19" s="7" t="n"/>
      <c r="C19" s="7" t="n"/>
      <c r="D19" s="7" t="n"/>
      <c r="E19" s="7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7" t="n"/>
      <c r="AC19" s="7" t="n"/>
      <c r="AD19" s="9">
        <f>IF(OR(A19&lt;&gt;"",B19&lt;&gt;""),TRIM(A19&amp;" "&amp;B19),"")</f>
        <v/>
      </c>
      <c r="AE19" s="9">
        <f>IF(AD19="","",IF(COUNTIF(Tavoli!$E$2:$AB$41,AD19)=0,"Da assegnare",IF(COUNTIF(Tavoli!$E$2:$AB$41,AD19)&gt;1,"DUPLICATO","Tavolo "&amp;SUMPRODUCT((Tavoli!$E$2:$AB$41=AD19)*Tavoli!$A$2:$A$41))))</f>
        <v/>
      </c>
    </row>
    <row r="20">
      <c r="A20" s="7" t="n"/>
      <c r="B20" s="7" t="n"/>
      <c r="C20" s="7" t="n"/>
      <c r="D20" s="7" t="n"/>
      <c r="E20" s="7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7" t="n"/>
      <c r="AC20" s="7" t="n"/>
      <c r="AD20" s="9">
        <f>IF(OR(A20&lt;&gt;"",B20&lt;&gt;""),TRIM(A20&amp;" "&amp;B20),"")</f>
        <v/>
      </c>
      <c r="AE20" s="9">
        <f>IF(AD20="","",IF(COUNTIF(Tavoli!$E$2:$AB$41,AD20)=0,"Da assegnare",IF(COUNTIF(Tavoli!$E$2:$AB$41,AD20)&gt;1,"DUPLICATO","Tavolo "&amp;SUMPRODUCT((Tavoli!$E$2:$AB$41=AD20)*Tavoli!$A$2:$A$41))))</f>
        <v/>
      </c>
    </row>
    <row r="21">
      <c r="A21" s="7" t="n"/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7" t="n"/>
      <c r="AC21" s="7" t="n"/>
      <c r="AD21" s="9">
        <f>IF(OR(A21&lt;&gt;"",B21&lt;&gt;""),TRIM(A21&amp;" "&amp;B21),"")</f>
        <v/>
      </c>
      <c r="AE21" s="9">
        <f>IF(AD21="","",IF(COUNTIF(Tavoli!$E$2:$AB$41,AD21)=0,"Da assegnare",IF(COUNTIF(Tavoli!$E$2:$AB$41,AD21)&gt;1,"DUPLICATO","Tavolo "&amp;SUMPRODUCT((Tavoli!$E$2:$AB$41=AD21)*Tavoli!$A$2:$A$41))))</f>
        <v/>
      </c>
    </row>
    <row r="22">
      <c r="A22" s="7" t="n"/>
      <c r="B22" s="7" t="n"/>
      <c r="C22" s="7" t="n"/>
      <c r="D22" s="7" t="n"/>
      <c r="E22" s="7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7" t="n"/>
      <c r="AC22" s="7" t="n"/>
      <c r="AD22" s="9">
        <f>IF(OR(A22&lt;&gt;"",B22&lt;&gt;""),TRIM(A22&amp;" "&amp;B22),"")</f>
        <v/>
      </c>
      <c r="AE22" s="9">
        <f>IF(AD22="","",IF(COUNTIF(Tavoli!$E$2:$AB$41,AD22)=0,"Da assegnare",IF(COUNTIF(Tavoli!$E$2:$AB$41,AD22)&gt;1,"DUPLICATO","Tavolo "&amp;SUMPRODUCT((Tavoli!$E$2:$AB$41=AD22)*Tavoli!$A$2:$A$41))))</f>
        <v/>
      </c>
    </row>
    <row r="23">
      <c r="A23" s="7" t="n"/>
      <c r="B23" s="7" t="n"/>
      <c r="C23" s="7" t="n"/>
      <c r="D23" s="7" t="n"/>
      <c r="E23" s="7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7" t="n"/>
      <c r="AC23" s="7" t="n"/>
      <c r="AD23" s="9">
        <f>IF(OR(A23&lt;&gt;"",B23&lt;&gt;""),TRIM(A23&amp;" "&amp;B23),"")</f>
        <v/>
      </c>
      <c r="AE23" s="9">
        <f>IF(AD23="","",IF(COUNTIF(Tavoli!$E$2:$AB$41,AD23)=0,"Da assegnare",IF(COUNTIF(Tavoli!$E$2:$AB$41,AD23)&gt;1,"DUPLICATO","Tavolo "&amp;SUMPRODUCT((Tavoli!$E$2:$AB$41=AD23)*Tavoli!$A$2:$A$41))))</f>
        <v/>
      </c>
    </row>
    <row r="24">
      <c r="A24" s="7" t="n"/>
      <c r="B24" s="7" t="n"/>
      <c r="C24" s="7" t="n"/>
      <c r="D24" s="7" t="n"/>
      <c r="E24" s="7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7" t="n"/>
      <c r="AC24" s="7" t="n"/>
      <c r="AD24" s="9">
        <f>IF(OR(A24&lt;&gt;"",B24&lt;&gt;""),TRIM(A24&amp;" "&amp;B24),"")</f>
        <v/>
      </c>
      <c r="AE24" s="9">
        <f>IF(AD24="","",IF(COUNTIF(Tavoli!$E$2:$AB$41,AD24)=0,"Da assegnare",IF(COUNTIF(Tavoli!$E$2:$AB$41,AD24)&gt;1,"DUPLICATO","Tavolo "&amp;SUMPRODUCT((Tavoli!$E$2:$AB$41=AD24)*Tavoli!$A$2:$A$41))))</f>
        <v/>
      </c>
    </row>
    <row r="25">
      <c r="A25" s="7" t="n"/>
      <c r="B25" s="7" t="n"/>
      <c r="C25" s="7" t="n"/>
      <c r="D25" s="7" t="n"/>
      <c r="E25" s="7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7" t="n"/>
      <c r="AC25" s="7" t="n"/>
      <c r="AD25" s="9">
        <f>IF(OR(A25&lt;&gt;"",B25&lt;&gt;""),TRIM(A25&amp;" "&amp;B25),"")</f>
        <v/>
      </c>
      <c r="AE25" s="9">
        <f>IF(AD25="","",IF(COUNTIF(Tavoli!$E$2:$AB$41,AD25)=0,"Da assegnare",IF(COUNTIF(Tavoli!$E$2:$AB$41,AD25)&gt;1,"DUPLICATO","Tavolo "&amp;SUMPRODUCT((Tavoli!$E$2:$AB$41=AD25)*Tavoli!$A$2:$A$41))))</f>
        <v/>
      </c>
    </row>
    <row r="26">
      <c r="A26" s="7" t="n"/>
      <c r="B26" s="7" t="n"/>
      <c r="C26" s="7" t="n"/>
      <c r="D26" s="7" t="n"/>
      <c r="E26" s="7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7" t="n"/>
      <c r="AC26" s="7" t="n"/>
      <c r="AD26" s="9">
        <f>IF(OR(A26&lt;&gt;"",B26&lt;&gt;""),TRIM(A26&amp;" "&amp;B26),"")</f>
        <v/>
      </c>
      <c r="AE26" s="9">
        <f>IF(AD26="","",IF(COUNTIF(Tavoli!$E$2:$AB$41,AD26)=0,"Da assegnare",IF(COUNTIF(Tavoli!$E$2:$AB$41,AD26)&gt;1,"DUPLICATO","Tavolo "&amp;SUMPRODUCT((Tavoli!$E$2:$AB$41=AD26)*Tavoli!$A$2:$A$41))))</f>
        <v/>
      </c>
    </row>
    <row r="27">
      <c r="A27" s="7" t="n"/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7" t="n"/>
      <c r="AC27" s="7" t="n"/>
      <c r="AD27" s="9">
        <f>IF(OR(A27&lt;&gt;"",B27&lt;&gt;""),TRIM(A27&amp;" "&amp;B27),"")</f>
        <v/>
      </c>
      <c r="AE27" s="9">
        <f>IF(AD27="","",IF(COUNTIF(Tavoli!$E$2:$AB$41,AD27)=0,"Da assegnare",IF(COUNTIF(Tavoli!$E$2:$AB$41,AD27)&gt;1,"DUPLICATO","Tavolo "&amp;SUMPRODUCT((Tavoli!$E$2:$AB$41=AD27)*Tavoli!$A$2:$A$41))))</f>
        <v/>
      </c>
    </row>
    <row r="28">
      <c r="A28" s="7" t="n"/>
      <c r="B28" s="7" t="n"/>
      <c r="C28" s="7" t="n"/>
      <c r="D28" s="7" t="n"/>
      <c r="E28" s="7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7" t="n"/>
      <c r="AC28" s="7" t="n"/>
      <c r="AD28" s="9">
        <f>IF(OR(A28&lt;&gt;"",B28&lt;&gt;""),TRIM(A28&amp;" "&amp;B28),"")</f>
        <v/>
      </c>
      <c r="AE28" s="9">
        <f>IF(AD28="","",IF(COUNTIF(Tavoli!$E$2:$AB$41,AD28)=0,"Da assegnare",IF(COUNTIF(Tavoli!$E$2:$AB$41,AD28)&gt;1,"DUPLICATO","Tavolo "&amp;SUMPRODUCT((Tavoli!$E$2:$AB$41=AD28)*Tavoli!$A$2:$A$41))))</f>
        <v/>
      </c>
    </row>
    <row r="29">
      <c r="A29" s="7" t="n"/>
      <c r="B29" s="7" t="n"/>
      <c r="C29" s="7" t="n"/>
      <c r="D29" s="7" t="n"/>
      <c r="E29" s="7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7" t="n"/>
      <c r="AC29" s="7" t="n"/>
      <c r="AD29" s="9">
        <f>IF(OR(A29&lt;&gt;"",B29&lt;&gt;""),TRIM(A29&amp;" "&amp;B29),"")</f>
        <v/>
      </c>
      <c r="AE29" s="9">
        <f>IF(AD29="","",IF(COUNTIF(Tavoli!$E$2:$AB$41,AD29)=0,"Da assegnare",IF(COUNTIF(Tavoli!$E$2:$AB$41,AD29)&gt;1,"DUPLICATO","Tavolo "&amp;SUMPRODUCT((Tavoli!$E$2:$AB$41=AD29)*Tavoli!$A$2:$A$41))))</f>
        <v/>
      </c>
    </row>
    <row r="30">
      <c r="A30" s="7" t="n"/>
      <c r="B30" s="7" t="n"/>
      <c r="C30" s="7" t="n"/>
      <c r="D30" s="7" t="n"/>
      <c r="E30" s="7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7" t="n"/>
      <c r="AC30" s="7" t="n"/>
      <c r="AD30" s="9">
        <f>IF(OR(A30&lt;&gt;"",B30&lt;&gt;""),TRIM(A30&amp;" "&amp;B30),"")</f>
        <v/>
      </c>
      <c r="AE30" s="9">
        <f>IF(AD30="","",IF(COUNTIF(Tavoli!$E$2:$AB$41,AD30)=0,"Da assegnare",IF(COUNTIF(Tavoli!$E$2:$AB$41,AD30)&gt;1,"DUPLICATO","Tavolo "&amp;SUMPRODUCT((Tavoli!$E$2:$AB$41=AD30)*Tavoli!$A$2:$A$41))))</f>
        <v/>
      </c>
    </row>
    <row r="31">
      <c r="A31" s="7" t="n"/>
      <c r="B31" s="7" t="n"/>
      <c r="C31" s="7" t="n"/>
      <c r="D31" s="7" t="n"/>
      <c r="E31" s="7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7" t="n"/>
      <c r="AC31" s="7" t="n"/>
      <c r="AD31" s="9">
        <f>IF(OR(A31&lt;&gt;"",B31&lt;&gt;""),TRIM(A31&amp;" "&amp;B31),"")</f>
        <v/>
      </c>
      <c r="AE31" s="9">
        <f>IF(AD31="","",IF(COUNTIF(Tavoli!$E$2:$AB$41,AD31)=0,"Da assegnare",IF(COUNTIF(Tavoli!$E$2:$AB$41,AD31)&gt;1,"DUPLICATO","Tavolo "&amp;SUMPRODUCT((Tavoli!$E$2:$AB$41=AD31)*Tavoli!$A$2:$A$41))))</f>
        <v/>
      </c>
    </row>
    <row r="32">
      <c r="A32" s="7" t="n"/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7" t="n"/>
      <c r="AC32" s="7" t="n"/>
      <c r="AD32" s="9">
        <f>IF(OR(A32&lt;&gt;"",B32&lt;&gt;""),TRIM(A32&amp;" "&amp;B32),"")</f>
        <v/>
      </c>
      <c r="AE32" s="9">
        <f>IF(AD32="","",IF(COUNTIF(Tavoli!$E$2:$AB$41,AD32)=0,"Da assegnare",IF(COUNTIF(Tavoli!$E$2:$AB$41,AD32)&gt;1,"DUPLICATO","Tavolo "&amp;SUMPRODUCT((Tavoli!$E$2:$AB$41=AD32)*Tavoli!$A$2:$A$41))))</f>
        <v/>
      </c>
    </row>
    <row r="33">
      <c r="A33" s="7" t="n"/>
      <c r="B33" s="7" t="n"/>
      <c r="C33" s="7" t="n"/>
      <c r="D33" s="7" t="n"/>
      <c r="E33" s="7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7" t="n"/>
      <c r="AC33" s="7" t="n"/>
      <c r="AD33" s="9">
        <f>IF(OR(A33&lt;&gt;"",B33&lt;&gt;""),TRIM(A33&amp;" "&amp;B33),"")</f>
        <v/>
      </c>
      <c r="AE33" s="9">
        <f>IF(AD33="","",IF(COUNTIF(Tavoli!$E$2:$AB$41,AD33)=0,"Da assegnare",IF(COUNTIF(Tavoli!$E$2:$AB$41,AD33)&gt;1,"DUPLICATO","Tavolo "&amp;SUMPRODUCT((Tavoli!$E$2:$AB$41=AD33)*Tavoli!$A$2:$A$41))))</f>
        <v/>
      </c>
    </row>
    <row r="34">
      <c r="A34" s="7" t="n"/>
      <c r="B34" s="7" t="n"/>
      <c r="C34" s="7" t="n"/>
      <c r="D34" s="7" t="n"/>
      <c r="E34" s="7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7" t="n"/>
      <c r="AC34" s="7" t="n"/>
      <c r="AD34" s="9">
        <f>IF(OR(A34&lt;&gt;"",B34&lt;&gt;""),TRIM(A34&amp;" "&amp;B34),"")</f>
        <v/>
      </c>
      <c r="AE34" s="9">
        <f>IF(AD34="","",IF(COUNTIF(Tavoli!$E$2:$AB$41,AD34)=0,"Da assegnare",IF(COUNTIF(Tavoli!$E$2:$AB$41,AD34)&gt;1,"DUPLICATO","Tavolo "&amp;SUMPRODUCT((Tavoli!$E$2:$AB$41=AD34)*Tavoli!$A$2:$A$41))))</f>
        <v/>
      </c>
    </row>
    <row r="35">
      <c r="A35" s="7" t="n"/>
      <c r="B35" s="7" t="n"/>
      <c r="C35" s="7" t="n"/>
      <c r="D35" s="7" t="n"/>
      <c r="E35" s="7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7" t="n"/>
      <c r="AC35" s="7" t="n"/>
      <c r="AD35" s="9">
        <f>IF(OR(A35&lt;&gt;"",B35&lt;&gt;""),TRIM(A35&amp;" "&amp;B35),"")</f>
        <v/>
      </c>
      <c r="AE35" s="9">
        <f>IF(AD35="","",IF(COUNTIF(Tavoli!$E$2:$AB$41,AD35)=0,"Da assegnare",IF(COUNTIF(Tavoli!$E$2:$AB$41,AD35)&gt;1,"DUPLICATO","Tavolo "&amp;SUMPRODUCT((Tavoli!$E$2:$AB$41=AD35)*Tavoli!$A$2:$A$41))))</f>
        <v/>
      </c>
    </row>
    <row r="36">
      <c r="A36" s="7" t="n"/>
      <c r="B36" s="7" t="n"/>
      <c r="C36" s="7" t="n"/>
      <c r="D36" s="7" t="n"/>
      <c r="E36" s="7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7" t="n"/>
      <c r="AC36" s="7" t="n"/>
      <c r="AD36" s="9">
        <f>IF(OR(A36&lt;&gt;"",B36&lt;&gt;""),TRIM(A36&amp;" "&amp;B36),"")</f>
        <v/>
      </c>
      <c r="AE36" s="9">
        <f>IF(AD36="","",IF(COUNTIF(Tavoli!$E$2:$AB$41,AD36)=0,"Da assegnare",IF(COUNTIF(Tavoli!$E$2:$AB$41,AD36)&gt;1,"DUPLICATO","Tavolo "&amp;SUMPRODUCT((Tavoli!$E$2:$AB$41=AD36)*Tavoli!$A$2:$A$41))))</f>
        <v/>
      </c>
    </row>
    <row r="37">
      <c r="A37" s="7" t="n"/>
      <c r="B37" s="7" t="n"/>
      <c r="C37" s="7" t="n"/>
      <c r="D37" s="7" t="n"/>
      <c r="E37" s="7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7" t="n"/>
      <c r="AC37" s="7" t="n"/>
      <c r="AD37" s="9">
        <f>IF(OR(A37&lt;&gt;"",B37&lt;&gt;""),TRIM(A37&amp;" "&amp;B37),"")</f>
        <v/>
      </c>
      <c r="AE37" s="9">
        <f>IF(AD37="","",IF(COUNTIF(Tavoli!$E$2:$AB$41,AD37)=0,"Da assegnare",IF(COUNTIF(Tavoli!$E$2:$AB$41,AD37)&gt;1,"DUPLICATO","Tavolo "&amp;SUMPRODUCT((Tavoli!$E$2:$AB$41=AD37)*Tavoli!$A$2:$A$41))))</f>
        <v/>
      </c>
    </row>
    <row r="38">
      <c r="A38" s="7" t="n"/>
      <c r="B38" s="7" t="n"/>
      <c r="C38" s="7" t="n"/>
      <c r="D38" s="7" t="n"/>
      <c r="E38" s="7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7" t="n"/>
      <c r="AC38" s="7" t="n"/>
      <c r="AD38" s="9">
        <f>IF(OR(A38&lt;&gt;"",B38&lt;&gt;""),TRIM(A38&amp;" "&amp;B38),"")</f>
        <v/>
      </c>
      <c r="AE38" s="9">
        <f>IF(AD38="","",IF(COUNTIF(Tavoli!$E$2:$AB$41,AD38)=0,"Da assegnare",IF(COUNTIF(Tavoli!$E$2:$AB$41,AD38)&gt;1,"DUPLICATO","Tavolo "&amp;SUMPRODUCT((Tavoli!$E$2:$AB$41=AD38)*Tavoli!$A$2:$A$41))))</f>
        <v/>
      </c>
    </row>
    <row r="39">
      <c r="A39" s="7" t="n"/>
      <c r="B39" s="7" t="n"/>
      <c r="C39" s="7" t="n"/>
      <c r="D39" s="7" t="n"/>
      <c r="E39" s="7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7" t="n"/>
      <c r="AC39" s="7" t="n"/>
      <c r="AD39" s="9">
        <f>IF(OR(A39&lt;&gt;"",B39&lt;&gt;""),TRIM(A39&amp;" "&amp;B39),"")</f>
        <v/>
      </c>
      <c r="AE39" s="9">
        <f>IF(AD39="","",IF(COUNTIF(Tavoli!$E$2:$AB$41,AD39)=0,"Da assegnare",IF(COUNTIF(Tavoli!$E$2:$AB$41,AD39)&gt;1,"DUPLICATO","Tavolo "&amp;SUMPRODUCT((Tavoli!$E$2:$AB$41=AD39)*Tavoli!$A$2:$A$41))))</f>
        <v/>
      </c>
    </row>
    <row r="40">
      <c r="A40" s="7" t="n"/>
      <c r="B40" s="7" t="n"/>
      <c r="C40" s="7" t="n"/>
      <c r="D40" s="7" t="n"/>
      <c r="E40" s="7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7" t="n"/>
      <c r="AC40" s="7" t="n"/>
      <c r="AD40" s="9">
        <f>IF(OR(A40&lt;&gt;"",B40&lt;&gt;""),TRIM(A40&amp;" "&amp;B40),"")</f>
        <v/>
      </c>
      <c r="AE40" s="9">
        <f>IF(AD40="","",IF(COUNTIF(Tavoli!$E$2:$AB$41,AD40)=0,"Da assegnare",IF(COUNTIF(Tavoli!$E$2:$AB$41,AD40)&gt;1,"DUPLICATO","Tavolo "&amp;SUMPRODUCT((Tavoli!$E$2:$AB$41=AD40)*Tavoli!$A$2:$A$41))))</f>
        <v/>
      </c>
    </row>
    <row r="41">
      <c r="A41" s="7" t="n"/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7" t="n"/>
      <c r="AC41" s="7" t="n"/>
      <c r="AD41" s="9">
        <f>IF(OR(A41&lt;&gt;"",B41&lt;&gt;""),TRIM(A41&amp;" "&amp;B41),"")</f>
        <v/>
      </c>
      <c r="AE41" s="9">
        <f>IF(AD41="","",IF(COUNTIF(Tavoli!$E$2:$AB$41,AD41)=0,"Da assegnare",IF(COUNTIF(Tavoli!$E$2:$AB$41,AD41)&gt;1,"DUPLICATO","Tavolo "&amp;SUMPRODUCT((Tavoli!$E$2:$AB$41=AD41)*Tavoli!$A$2:$A$41))))</f>
        <v/>
      </c>
    </row>
    <row r="42">
      <c r="A42" s="7" t="n"/>
      <c r="B42" s="7" t="n"/>
      <c r="C42" s="7" t="n"/>
      <c r="D42" s="7" t="n"/>
      <c r="E42" s="7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7" t="n"/>
      <c r="AC42" s="7" t="n"/>
      <c r="AD42" s="9">
        <f>IF(OR(A42&lt;&gt;"",B42&lt;&gt;""),TRIM(A42&amp;" "&amp;B42),"")</f>
        <v/>
      </c>
      <c r="AE42" s="9">
        <f>IF(AD42="","",IF(COUNTIF(Tavoli!$E$2:$AB$41,AD42)=0,"Da assegnare",IF(COUNTIF(Tavoli!$E$2:$AB$41,AD42)&gt;1,"DUPLICATO","Tavolo "&amp;SUMPRODUCT((Tavoli!$E$2:$AB$41=AD42)*Tavoli!$A$2:$A$41))))</f>
        <v/>
      </c>
    </row>
    <row r="43">
      <c r="A43" s="7" t="n"/>
      <c r="B43" s="7" t="n"/>
      <c r="C43" s="7" t="n"/>
      <c r="D43" s="7" t="n"/>
      <c r="E43" s="7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7" t="n"/>
      <c r="AC43" s="7" t="n"/>
      <c r="AD43" s="9">
        <f>IF(OR(A43&lt;&gt;"",B43&lt;&gt;""),TRIM(A43&amp;" "&amp;B43),"")</f>
        <v/>
      </c>
      <c r="AE43" s="9">
        <f>IF(AD43="","",IF(COUNTIF(Tavoli!$E$2:$AB$41,AD43)=0,"Da assegnare",IF(COUNTIF(Tavoli!$E$2:$AB$41,AD43)&gt;1,"DUPLICATO","Tavolo "&amp;SUMPRODUCT((Tavoli!$E$2:$AB$41=AD43)*Tavoli!$A$2:$A$41))))</f>
        <v/>
      </c>
    </row>
    <row r="44">
      <c r="A44" s="7" t="n"/>
      <c r="B44" s="7" t="n"/>
      <c r="C44" s="7" t="n"/>
      <c r="D44" s="7" t="n"/>
      <c r="E44" s="7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7" t="n"/>
      <c r="AC44" s="7" t="n"/>
      <c r="AD44" s="9">
        <f>IF(OR(A44&lt;&gt;"",B44&lt;&gt;""),TRIM(A44&amp;" "&amp;B44),"")</f>
        <v/>
      </c>
      <c r="AE44" s="9">
        <f>IF(AD44="","",IF(COUNTIF(Tavoli!$E$2:$AB$41,AD44)=0,"Da assegnare",IF(COUNTIF(Tavoli!$E$2:$AB$41,AD44)&gt;1,"DUPLICATO","Tavolo "&amp;SUMPRODUCT((Tavoli!$E$2:$AB$41=AD44)*Tavoli!$A$2:$A$41))))</f>
        <v/>
      </c>
    </row>
    <row r="45">
      <c r="A45" s="7" t="n"/>
      <c r="B45" s="7" t="n"/>
      <c r="C45" s="7" t="n"/>
      <c r="D45" s="7" t="n"/>
      <c r="E45" s="7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7" t="n"/>
      <c r="AC45" s="7" t="n"/>
      <c r="AD45" s="9">
        <f>IF(OR(A45&lt;&gt;"",B45&lt;&gt;""),TRIM(A45&amp;" "&amp;B45),"")</f>
        <v/>
      </c>
      <c r="AE45" s="9">
        <f>IF(AD45="","",IF(COUNTIF(Tavoli!$E$2:$AB$41,AD45)=0,"Da assegnare",IF(COUNTIF(Tavoli!$E$2:$AB$41,AD45)&gt;1,"DUPLICATO","Tavolo "&amp;SUMPRODUCT((Tavoli!$E$2:$AB$41=AD45)*Tavoli!$A$2:$A$41))))</f>
        <v/>
      </c>
    </row>
    <row r="46">
      <c r="A46" s="7" t="n"/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7" t="n"/>
      <c r="AC46" s="7" t="n"/>
      <c r="AD46" s="9">
        <f>IF(OR(A46&lt;&gt;"",B46&lt;&gt;""),TRIM(A46&amp;" "&amp;B46),"")</f>
        <v/>
      </c>
      <c r="AE46" s="9">
        <f>IF(AD46="","",IF(COUNTIF(Tavoli!$E$2:$AB$41,AD46)=0,"Da assegnare",IF(COUNTIF(Tavoli!$E$2:$AB$41,AD46)&gt;1,"DUPLICATO","Tavolo "&amp;SUMPRODUCT((Tavoli!$E$2:$AB$41=AD46)*Tavoli!$A$2:$A$41))))</f>
        <v/>
      </c>
    </row>
    <row r="47">
      <c r="A47" s="7" t="n"/>
      <c r="B47" s="7" t="n"/>
      <c r="C47" s="7" t="n"/>
      <c r="D47" s="7" t="n"/>
      <c r="E47" s="7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7" t="n"/>
      <c r="AC47" s="7" t="n"/>
      <c r="AD47" s="9">
        <f>IF(OR(A47&lt;&gt;"",B47&lt;&gt;""),TRIM(A47&amp;" "&amp;B47),"")</f>
        <v/>
      </c>
      <c r="AE47" s="9">
        <f>IF(AD47="","",IF(COUNTIF(Tavoli!$E$2:$AB$41,AD47)=0,"Da assegnare",IF(COUNTIF(Tavoli!$E$2:$AB$41,AD47)&gt;1,"DUPLICATO","Tavolo "&amp;SUMPRODUCT((Tavoli!$E$2:$AB$41=AD47)*Tavoli!$A$2:$A$41))))</f>
        <v/>
      </c>
    </row>
    <row r="48">
      <c r="A48" s="7" t="n"/>
      <c r="B48" s="7" t="n"/>
      <c r="C48" s="7" t="n"/>
      <c r="D48" s="7" t="n"/>
      <c r="E48" s="7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7" t="n"/>
      <c r="AC48" s="7" t="n"/>
      <c r="AD48" s="9">
        <f>IF(OR(A48&lt;&gt;"",B48&lt;&gt;""),TRIM(A48&amp;" "&amp;B48),"")</f>
        <v/>
      </c>
      <c r="AE48" s="9">
        <f>IF(AD48="","",IF(COUNTIF(Tavoli!$E$2:$AB$41,AD48)=0,"Da assegnare",IF(COUNTIF(Tavoli!$E$2:$AB$41,AD48)&gt;1,"DUPLICATO","Tavolo "&amp;SUMPRODUCT((Tavoli!$E$2:$AB$41=AD48)*Tavoli!$A$2:$A$41))))</f>
        <v/>
      </c>
    </row>
    <row r="49">
      <c r="A49" s="7" t="n"/>
      <c r="B49" s="7" t="n"/>
      <c r="C49" s="7" t="n"/>
      <c r="D49" s="7" t="n"/>
      <c r="E49" s="7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7" t="n"/>
      <c r="AC49" s="7" t="n"/>
      <c r="AD49" s="9">
        <f>IF(OR(A49&lt;&gt;"",B49&lt;&gt;""),TRIM(A49&amp;" "&amp;B49),"")</f>
        <v/>
      </c>
      <c r="AE49" s="9">
        <f>IF(AD49="","",IF(COUNTIF(Tavoli!$E$2:$AB$41,AD49)=0,"Da assegnare",IF(COUNTIF(Tavoli!$E$2:$AB$41,AD49)&gt;1,"DUPLICATO","Tavolo "&amp;SUMPRODUCT((Tavoli!$E$2:$AB$41=AD49)*Tavoli!$A$2:$A$41))))</f>
        <v/>
      </c>
    </row>
    <row r="50">
      <c r="A50" s="7" t="n"/>
      <c r="B50" s="7" t="n"/>
      <c r="C50" s="7" t="n"/>
      <c r="D50" s="7" t="n"/>
      <c r="E50" s="7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7" t="n"/>
      <c r="AC50" s="7" t="n"/>
      <c r="AD50" s="9">
        <f>IF(OR(A50&lt;&gt;"",B50&lt;&gt;""),TRIM(A50&amp;" "&amp;B50),"")</f>
        <v/>
      </c>
      <c r="AE50" s="9">
        <f>IF(AD50="","",IF(COUNTIF(Tavoli!$E$2:$AB$41,AD50)=0,"Da assegnare",IF(COUNTIF(Tavoli!$E$2:$AB$41,AD50)&gt;1,"DUPLICATO","Tavolo "&amp;SUMPRODUCT((Tavoli!$E$2:$AB$41=AD50)*Tavoli!$A$2:$A$41))))</f>
        <v/>
      </c>
    </row>
    <row r="51">
      <c r="A51" s="7" t="n"/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7" t="n"/>
      <c r="AC51" s="7" t="n"/>
      <c r="AD51" s="9">
        <f>IF(OR(A51&lt;&gt;"",B51&lt;&gt;""),TRIM(A51&amp;" "&amp;B51),"")</f>
        <v/>
      </c>
      <c r="AE51" s="9">
        <f>IF(AD51="","",IF(COUNTIF(Tavoli!$E$2:$AB$41,AD51)=0,"Da assegnare",IF(COUNTIF(Tavoli!$E$2:$AB$41,AD51)&gt;1,"DUPLICATO","Tavolo "&amp;SUMPRODUCT((Tavoli!$E$2:$AB$41=AD51)*Tavoli!$A$2:$A$41))))</f>
        <v/>
      </c>
    </row>
    <row r="52">
      <c r="A52" s="7" t="n"/>
      <c r="B52" s="7" t="n"/>
      <c r="C52" s="7" t="n"/>
      <c r="D52" s="7" t="n"/>
      <c r="E52" s="7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7" t="n"/>
      <c r="AC52" s="7" t="n"/>
      <c r="AD52" s="9">
        <f>IF(OR(A52&lt;&gt;"",B52&lt;&gt;""),TRIM(A52&amp;" "&amp;B52),"")</f>
        <v/>
      </c>
      <c r="AE52" s="9">
        <f>IF(AD52="","",IF(COUNTIF(Tavoli!$E$2:$AB$41,AD52)=0,"Da assegnare",IF(COUNTIF(Tavoli!$E$2:$AB$41,AD52)&gt;1,"DUPLICATO","Tavolo "&amp;SUMPRODUCT((Tavoli!$E$2:$AB$41=AD52)*Tavoli!$A$2:$A$41))))</f>
        <v/>
      </c>
    </row>
    <row r="53">
      <c r="A53" s="7" t="n"/>
      <c r="B53" s="7" t="n"/>
      <c r="C53" s="7" t="n"/>
      <c r="D53" s="7" t="n"/>
      <c r="E53" s="7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7" t="n"/>
      <c r="AC53" s="7" t="n"/>
      <c r="AD53" s="9">
        <f>IF(OR(A53&lt;&gt;"",B53&lt;&gt;""),TRIM(A53&amp;" "&amp;B53),"")</f>
        <v/>
      </c>
      <c r="AE53" s="9">
        <f>IF(AD53="","",IF(COUNTIF(Tavoli!$E$2:$AB$41,AD53)=0,"Da assegnare",IF(COUNTIF(Tavoli!$E$2:$AB$41,AD53)&gt;1,"DUPLICATO","Tavolo "&amp;SUMPRODUCT((Tavoli!$E$2:$AB$41=AD53)*Tavoli!$A$2:$A$41))))</f>
        <v/>
      </c>
    </row>
    <row r="54">
      <c r="A54" s="7" t="n"/>
      <c r="B54" s="7" t="n"/>
      <c r="C54" s="7" t="n"/>
      <c r="D54" s="7" t="n"/>
      <c r="E54" s="7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7" t="n"/>
      <c r="AC54" s="7" t="n"/>
      <c r="AD54" s="9">
        <f>IF(OR(A54&lt;&gt;"",B54&lt;&gt;""),TRIM(A54&amp;" "&amp;B54),"")</f>
        <v/>
      </c>
      <c r="AE54" s="9">
        <f>IF(AD54="","",IF(COUNTIF(Tavoli!$E$2:$AB$41,AD54)=0,"Da assegnare",IF(COUNTIF(Tavoli!$E$2:$AB$41,AD54)&gt;1,"DUPLICATO","Tavolo "&amp;SUMPRODUCT((Tavoli!$E$2:$AB$41=AD54)*Tavoli!$A$2:$A$41))))</f>
        <v/>
      </c>
    </row>
    <row r="55">
      <c r="A55" s="7" t="n"/>
      <c r="B55" s="7" t="n"/>
      <c r="C55" s="7" t="n"/>
      <c r="D55" s="7" t="n"/>
      <c r="E55" s="7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7" t="n"/>
      <c r="AC55" s="7" t="n"/>
      <c r="AD55" s="9">
        <f>IF(OR(A55&lt;&gt;"",B55&lt;&gt;""),TRIM(A55&amp;" "&amp;B55),"")</f>
        <v/>
      </c>
      <c r="AE55" s="9">
        <f>IF(AD55="","",IF(COUNTIF(Tavoli!$E$2:$AB$41,AD55)=0,"Da assegnare",IF(COUNTIF(Tavoli!$E$2:$AB$41,AD55)&gt;1,"DUPLICATO","Tavolo "&amp;SUMPRODUCT((Tavoli!$E$2:$AB$41=AD55)*Tavoli!$A$2:$A$41))))</f>
        <v/>
      </c>
    </row>
    <row r="56">
      <c r="A56" s="7" t="n"/>
      <c r="B56" s="7" t="n"/>
      <c r="C56" s="7" t="n"/>
      <c r="D56" s="7" t="n"/>
      <c r="E56" s="7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7" t="n"/>
      <c r="AC56" s="7" t="n"/>
      <c r="AD56" s="9">
        <f>IF(OR(A56&lt;&gt;"",B56&lt;&gt;""),TRIM(A56&amp;" "&amp;B56),"")</f>
        <v/>
      </c>
      <c r="AE56" s="9">
        <f>IF(AD56="","",IF(COUNTIF(Tavoli!$E$2:$AB$41,AD56)=0,"Da assegnare",IF(COUNTIF(Tavoli!$E$2:$AB$41,AD56)&gt;1,"DUPLICATO","Tavolo "&amp;SUMPRODUCT((Tavoli!$E$2:$AB$41=AD56)*Tavoli!$A$2:$A$41))))</f>
        <v/>
      </c>
    </row>
    <row r="57">
      <c r="A57" s="7" t="n"/>
      <c r="B57" s="7" t="n"/>
      <c r="C57" s="7" t="n"/>
      <c r="D57" s="7" t="n"/>
      <c r="E57" s="7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7" t="n"/>
      <c r="AC57" s="7" t="n"/>
      <c r="AD57" s="9">
        <f>IF(OR(A57&lt;&gt;"",B57&lt;&gt;""),TRIM(A57&amp;" "&amp;B57),"")</f>
        <v/>
      </c>
      <c r="AE57" s="9">
        <f>IF(AD57="","",IF(COUNTIF(Tavoli!$E$2:$AB$41,AD57)=0,"Da assegnare",IF(COUNTIF(Tavoli!$E$2:$AB$41,AD57)&gt;1,"DUPLICATO","Tavolo "&amp;SUMPRODUCT((Tavoli!$E$2:$AB$41=AD57)*Tavoli!$A$2:$A$41))))</f>
        <v/>
      </c>
    </row>
    <row r="58">
      <c r="A58" s="7" t="n"/>
      <c r="B58" s="7" t="n"/>
      <c r="C58" s="7" t="n"/>
      <c r="D58" s="7" t="n"/>
      <c r="E58" s="7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7" t="n"/>
      <c r="AC58" s="7" t="n"/>
      <c r="AD58" s="9">
        <f>IF(OR(A58&lt;&gt;"",B58&lt;&gt;""),TRIM(A58&amp;" "&amp;B58),"")</f>
        <v/>
      </c>
      <c r="AE58" s="9">
        <f>IF(AD58="","",IF(COUNTIF(Tavoli!$E$2:$AB$41,AD58)=0,"Da assegnare",IF(COUNTIF(Tavoli!$E$2:$AB$41,AD58)&gt;1,"DUPLICATO","Tavolo "&amp;SUMPRODUCT((Tavoli!$E$2:$AB$41=AD58)*Tavoli!$A$2:$A$41))))</f>
        <v/>
      </c>
    </row>
    <row r="59">
      <c r="A59" s="7" t="n"/>
      <c r="B59" s="7" t="n"/>
      <c r="C59" s="7" t="n"/>
      <c r="D59" s="7" t="n"/>
      <c r="E59" s="7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7" t="n"/>
      <c r="AC59" s="7" t="n"/>
      <c r="AD59" s="9">
        <f>IF(OR(A59&lt;&gt;"",B59&lt;&gt;""),TRIM(A59&amp;" "&amp;B59),"")</f>
        <v/>
      </c>
      <c r="AE59" s="9">
        <f>IF(AD59="","",IF(COUNTIF(Tavoli!$E$2:$AB$41,AD59)=0,"Da assegnare",IF(COUNTIF(Tavoli!$E$2:$AB$41,AD59)&gt;1,"DUPLICATO","Tavolo "&amp;SUMPRODUCT((Tavoli!$E$2:$AB$41=AD59)*Tavoli!$A$2:$A$41))))</f>
        <v/>
      </c>
    </row>
    <row r="60">
      <c r="A60" s="7" t="n"/>
      <c r="B60" s="7" t="n"/>
      <c r="C60" s="7" t="n"/>
      <c r="D60" s="7" t="n"/>
      <c r="E60" s="7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7" t="n"/>
      <c r="AC60" s="7" t="n"/>
      <c r="AD60" s="9">
        <f>IF(OR(A60&lt;&gt;"",B60&lt;&gt;""),TRIM(A60&amp;" "&amp;B60),"")</f>
        <v/>
      </c>
      <c r="AE60" s="9">
        <f>IF(AD60="","",IF(COUNTIF(Tavoli!$E$2:$AB$41,AD60)=0,"Da assegnare",IF(COUNTIF(Tavoli!$E$2:$AB$41,AD60)&gt;1,"DUPLICATO","Tavolo "&amp;SUMPRODUCT((Tavoli!$E$2:$AB$41=AD60)*Tavoli!$A$2:$A$41))))</f>
        <v/>
      </c>
    </row>
    <row r="61">
      <c r="A61" s="7" t="n"/>
      <c r="B61" s="7" t="n"/>
      <c r="C61" s="7" t="n"/>
      <c r="D61" s="7" t="n"/>
      <c r="E61" s="7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7" t="n"/>
      <c r="AC61" s="7" t="n"/>
      <c r="AD61" s="9">
        <f>IF(OR(A61&lt;&gt;"",B61&lt;&gt;""),TRIM(A61&amp;" "&amp;B61),"")</f>
        <v/>
      </c>
      <c r="AE61" s="9">
        <f>IF(AD61="","",IF(COUNTIF(Tavoli!$E$2:$AB$41,AD61)=0,"Da assegnare",IF(COUNTIF(Tavoli!$E$2:$AB$41,AD61)&gt;1,"DUPLICATO","Tavolo "&amp;SUMPRODUCT((Tavoli!$E$2:$AB$41=AD61)*Tavoli!$A$2:$A$41))))</f>
        <v/>
      </c>
    </row>
    <row r="62">
      <c r="A62" s="7" t="n"/>
      <c r="B62" s="7" t="n"/>
      <c r="C62" s="7" t="n"/>
      <c r="D62" s="7" t="n"/>
      <c r="E62" s="7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7" t="n"/>
      <c r="AC62" s="7" t="n"/>
      <c r="AD62" s="9">
        <f>IF(OR(A62&lt;&gt;"",B62&lt;&gt;""),TRIM(A62&amp;" "&amp;B62),"")</f>
        <v/>
      </c>
      <c r="AE62" s="9">
        <f>IF(AD62="","",IF(COUNTIF(Tavoli!$E$2:$AB$41,AD62)=0,"Da assegnare",IF(COUNTIF(Tavoli!$E$2:$AB$41,AD62)&gt;1,"DUPLICATO","Tavolo "&amp;SUMPRODUCT((Tavoli!$E$2:$AB$41=AD62)*Tavoli!$A$2:$A$41))))</f>
        <v/>
      </c>
    </row>
    <row r="63">
      <c r="A63" s="7" t="n"/>
      <c r="B63" s="7" t="n"/>
      <c r="C63" s="7" t="n"/>
      <c r="D63" s="7" t="n"/>
      <c r="E63" s="7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7" t="n"/>
      <c r="AC63" s="7" t="n"/>
      <c r="AD63" s="9">
        <f>IF(OR(A63&lt;&gt;"",B63&lt;&gt;""),TRIM(A63&amp;" "&amp;B63),"")</f>
        <v/>
      </c>
      <c r="AE63" s="9">
        <f>IF(AD63="","",IF(COUNTIF(Tavoli!$E$2:$AB$41,AD63)=0,"Da assegnare",IF(COUNTIF(Tavoli!$E$2:$AB$41,AD63)&gt;1,"DUPLICATO","Tavolo "&amp;SUMPRODUCT((Tavoli!$E$2:$AB$41=AD63)*Tavoli!$A$2:$A$41))))</f>
        <v/>
      </c>
    </row>
    <row r="64">
      <c r="A64" s="7" t="n"/>
      <c r="B64" s="7" t="n"/>
      <c r="C64" s="7" t="n"/>
      <c r="D64" s="7" t="n"/>
      <c r="E64" s="7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7" t="n"/>
      <c r="AC64" s="7" t="n"/>
      <c r="AD64" s="9">
        <f>IF(OR(A64&lt;&gt;"",B64&lt;&gt;""),TRIM(A64&amp;" "&amp;B64),"")</f>
        <v/>
      </c>
      <c r="AE64" s="9">
        <f>IF(AD64="","",IF(COUNTIF(Tavoli!$E$2:$AB$41,AD64)=0,"Da assegnare",IF(COUNTIF(Tavoli!$E$2:$AB$41,AD64)&gt;1,"DUPLICATO","Tavolo "&amp;SUMPRODUCT((Tavoli!$E$2:$AB$41=AD64)*Tavoli!$A$2:$A$41))))</f>
        <v/>
      </c>
    </row>
    <row r="65">
      <c r="A65" s="7" t="n"/>
      <c r="B65" s="7" t="n"/>
      <c r="C65" s="7" t="n"/>
      <c r="D65" s="7" t="n"/>
      <c r="E65" s="7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7" t="n"/>
      <c r="AC65" s="7" t="n"/>
      <c r="AD65" s="9">
        <f>IF(OR(A65&lt;&gt;"",B65&lt;&gt;""),TRIM(A65&amp;" "&amp;B65),"")</f>
        <v/>
      </c>
      <c r="AE65" s="9">
        <f>IF(AD65="","",IF(COUNTIF(Tavoli!$E$2:$AB$41,AD65)=0,"Da assegnare",IF(COUNTIF(Tavoli!$E$2:$AB$41,AD65)&gt;1,"DUPLICATO","Tavolo "&amp;SUMPRODUCT((Tavoli!$E$2:$AB$41=AD65)*Tavoli!$A$2:$A$41))))</f>
        <v/>
      </c>
    </row>
    <row r="66">
      <c r="A66" s="7" t="n"/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7" t="n"/>
      <c r="AC66" s="7" t="n"/>
      <c r="AD66" s="9">
        <f>IF(OR(A66&lt;&gt;"",B66&lt;&gt;""),TRIM(A66&amp;" "&amp;B66),"")</f>
        <v/>
      </c>
      <c r="AE66" s="9">
        <f>IF(AD66="","",IF(COUNTIF(Tavoli!$E$2:$AB$41,AD66)=0,"Da assegnare",IF(COUNTIF(Tavoli!$E$2:$AB$41,AD66)&gt;1,"DUPLICATO","Tavolo "&amp;SUMPRODUCT((Tavoli!$E$2:$AB$41=AD66)*Tavoli!$A$2:$A$41))))</f>
        <v/>
      </c>
    </row>
    <row r="67">
      <c r="A67" s="7" t="n"/>
      <c r="B67" s="7" t="n"/>
      <c r="C67" s="7" t="n"/>
      <c r="D67" s="7" t="n"/>
      <c r="E67" s="7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7" t="n"/>
      <c r="AC67" s="7" t="n"/>
      <c r="AD67" s="9">
        <f>IF(OR(A67&lt;&gt;"",B67&lt;&gt;""),TRIM(A67&amp;" "&amp;B67),"")</f>
        <v/>
      </c>
      <c r="AE67" s="9">
        <f>IF(AD67="","",IF(COUNTIF(Tavoli!$E$2:$AB$41,AD67)=0,"Da assegnare",IF(COUNTIF(Tavoli!$E$2:$AB$41,AD67)&gt;1,"DUPLICATO","Tavolo "&amp;SUMPRODUCT((Tavoli!$E$2:$AB$41=AD67)*Tavoli!$A$2:$A$41))))</f>
        <v/>
      </c>
    </row>
    <row r="68">
      <c r="A68" s="7" t="n"/>
      <c r="B68" s="7" t="n"/>
      <c r="C68" s="7" t="n"/>
      <c r="D68" s="7" t="n"/>
      <c r="E68" s="7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7" t="n"/>
      <c r="AC68" s="7" t="n"/>
      <c r="AD68" s="9">
        <f>IF(OR(A68&lt;&gt;"",B68&lt;&gt;""),TRIM(A68&amp;" "&amp;B68),"")</f>
        <v/>
      </c>
      <c r="AE68" s="9">
        <f>IF(AD68="","",IF(COUNTIF(Tavoli!$E$2:$AB$41,AD68)=0,"Da assegnare",IF(COUNTIF(Tavoli!$E$2:$AB$41,AD68)&gt;1,"DUPLICATO","Tavolo "&amp;SUMPRODUCT((Tavoli!$E$2:$AB$41=AD68)*Tavoli!$A$2:$A$41))))</f>
        <v/>
      </c>
    </row>
    <row r="69">
      <c r="A69" s="7" t="n"/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7" t="n"/>
      <c r="AC69" s="7" t="n"/>
      <c r="AD69" s="9">
        <f>IF(OR(A69&lt;&gt;"",B69&lt;&gt;""),TRIM(A69&amp;" "&amp;B69),"")</f>
        <v/>
      </c>
      <c r="AE69" s="9">
        <f>IF(AD69="","",IF(COUNTIF(Tavoli!$E$2:$AB$41,AD69)=0,"Da assegnare",IF(COUNTIF(Tavoli!$E$2:$AB$41,AD69)&gt;1,"DUPLICATO","Tavolo "&amp;SUMPRODUCT((Tavoli!$E$2:$AB$41=AD69)*Tavoli!$A$2:$A$41))))</f>
        <v/>
      </c>
    </row>
    <row r="70">
      <c r="A70" s="7" t="n"/>
      <c r="B70" s="7" t="n"/>
      <c r="C70" s="7" t="n"/>
      <c r="D70" s="7" t="n"/>
      <c r="E70" s="7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7" t="n"/>
      <c r="AC70" s="7" t="n"/>
      <c r="AD70" s="9">
        <f>IF(OR(A70&lt;&gt;"",B70&lt;&gt;""),TRIM(A70&amp;" "&amp;B70),"")</f>
        <v/>
      </c>
      <c r="AE70" s="9">
        <f>IF(AD70="","",IF(COUNTIF(Tavoli!$E$2:$AB$41,AD70)=0,"Da assegnare",IF(COUNTIF(Tavoli!$E$2:$AB$41,AD70)&gt;1,"DUPLICATO","Tavolo "&amp;SUMPRODUCT((Tavoli!$E$2:$AB$41=AD70)*Tavoli!$A$2:$A$41))))</f>
        <v/>
      </c>
    </row>
    <row r="71">
      <c r="A71" s="7" t="n"/>
      <c r="B71" s="7" t="n"/>
      <c r="C71" s="7" t="n"/>
      <c r="D71" s="7" t="n"/>
      <c r="E71" s="7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7" t="n"/>
      <c r="AC71" s="7" t="n"/>
      <c r="AD71" s="9">
        <f>IF(OR(A71&lt;&gt;"",B71&lt;&gt;""),TRIM(A71&amp;" "&amp;B71),"")</f>
        <v/>
      </c>
      <c r="AE71" s="9">
        <f>IF(AD71="","",IF(COUNTIF(Tavoli!$E$2:$AB$41,AD71)=0,"Da assegnare",IF(COUNTIF(Tavoli!$E$2:$AB$41,AD71)&gt;1,"DUPLICATO","Tavolo "&amp;SUMPRODUCT((Tavoli!$E$2:$AB$41=AD71)*Tavoli!$A$2:$A$41))))</f>
        <v/>
      </c>
    </row>
    <row r="72">
      <c r="A72" s="7" t="n"/>
      <c r="B72" s="7" t="n"/>
      <c r="C72" s="7" t="n"/>
      <c r="D72" s="7" t="n"/>
      <c r="E72" s="7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7" t="n"/>
      <c r="AC72" s="7" t="n"/>
      <c r="AD72" s="9">
        <f>IF(OR(A72&lt;&gt;"",B72&lt;&gt;""),TRIM(A72&amp;" "&amp;B72),"")</f>
        <v/>
      </c>
      <c r="AE72" s="9">
        <f>IF(AD72="","",IF(COUNTIF(Tavoli!$E$2:$AB$41,AD72)=0,"Da assegnare",IF(COUNTIF(Tavoli!$E$2:$AB$41,AD72)&gt;1,"DUPLICATO","Tavolo "&amp;SUMPRODUCT((Tavoli!$E$2:$AB$41=AD72)*Tavoli!$A$2:$A$41))))</f>
        <v/>
      </c>
    </row>
    <row r="73">
      <c r="A73" s="7" t="n"/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7" t="n"/>
      <c r="AC73" s="7" t="n"/>
      <c r="AD73" s="9">
        <f>IF(OR(A73&lt;&gt;"",B73&lt;&gt;""),TRIM(A73&amp;" "&amp;B73),"")</f>
        <v/>
      </c>
      <c r="AE73" s="9">
        <f>IF(AD73="","",IF(COUNTIF(Tavoli!$E$2:$AB$41,AD73)=0,"Da assegnare",IF(COUNTIF(Tavoli!$E$2:$AB$41,AD73)&gt;1,"DUPLICATO","Tavolo "&amp;SUMPRODUCT((Tavoli!$E$2:$AB$41=AD73)*Tavoli!$A$2:$A$41))))</f>
        <v/>
      </c>
    </row>
    <row r="74">
      <c r="A74" s="7" t="n"/>
      <c r="B74" s="7" t="n"/>
      <c r="C74" s="7" t="n"/>
      <c r="D74" s="7" t="n"/>
      <c r="E74" s="7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7" t="n"/>
      <c r="AC74" s="7" t="n"/>
      <c r="AD74" s="9">
        <f>IF(OR(A74&lt;&gt;"",B74&lt;&gt;""),TRIM(A74&amp;" "&amp;B74),"")</f>
        <v/>
      </c>
      <c r="AE74" s="9">
        <f>IF(AD74="","",IF(COUNTIF(Tavoli!$E$2:$AB$41,AD74)=0,"Da assegnare",IF(COUNTIF(Tavoli!$E$2:$AB$41,AD74)&gt;1,"DUPLICATO","Tavolo "&amp;SUMPRODUCT((Tavoli!$E$2:$AB$41=AD74)*Tavoli!$A$2:$A$41))))</f>
        <v/>
      </c>
    </row>
    <row r="75">
      <c r="A75" s="7" t="n"/>
      <c r="B75" s="7" t="n"/>
      <c r="C75" s="7" t="n"/>
      <c r="D75" s="7" t="n"/>
      <c r="E75" s="7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7" t="n"/>
      <c r="AC75" s="7" t="n"/>
      <c r="AD75" s="9">
        <f>IF(OR(A75&lt;&gt;"",B75&lt;&gt;""),TRIM(A75&amp;" "&amp;B75),"")</f>
        <v/>
      </c>
      <c r="AE75" s="9">
        <f>IF(AD75="","",IF(COUNTIF(Tavoli!$E$2:$AB$41,AD75)=0,"Da assegnare",IF(COUNTIF(Tavoli!$E$2:$AB$41,AD75)&gt;1,"DUPLICATO","Tavolo "&amp;SUMPRODUCT((Tavoli!$E$2:$AB$41=AD75)*Tavoli!$A$2:$A$41))))</f>
        <v/>
      </c>
    </row>
    <row r="76">
      <c r="A76" s="7" t="n"/>
      <c r="B76" s="7" t="n"/>
      <c r="C76" s="7" t="n"/>
      <c r="D76" s="7" t="n"/>
      <c r="E76" s="7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7" t="n"/>
      <c r="AC76" s="7" t="n"/>
      <c r="AD76" s="9">
        <f>IF(OR(A76&lt;&gt;"",B76&lt;&gt;""),TRIM(A76&amp;" "&amp;B76),"")</f>
        <v/>
      </c>
      <c r="AE76" s="9">
        <f>IF(AD76="","",IF(COUNTIF(Tavoli!$E$2:$AB$41,AD76)=0,"Da assegnare",IF(COUNTIF(Tavoli!$E$2:$AB$41,AD76)&gt;1,"DUPLICATO","Tavolo "&amp;SUMPRODUCT((Tavoli!$E$2:$AB$41=AD76)*Tavoli!$A$2:$A$41))))</f>
        <v/>
      </c>
    </row>
    <row r="77">
      <c r="A77" s="7" t="n"/>
      <c r="B77" s="7" t="n"/>
      <c r="C77" s="7" t="n"/>
      <c r="D77" s="7" t="n"/>
      <c r="E77" s="7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7" t="n"/>
      <c r="AC77" s="7" t="n"/>
      <c r="AD77" s="9">
        <f>IF(OR(A77&lt;&gt;"",B77&lt;&gt;""),TRIM(A77&amp;" "&amp;B77),"")</f>
        <v/>
      </c>
      <c r="AE77" s="9">
        <f>IF(AD77="","",IF(COUNTIF(Tavoli!$E$2:$AB$41,AD77)=0,"Da assegnare",IF(COUNTIF(Tavoli!$E$2:$AB$41,AD77)&gt;1,"DUPLICATO","Tavolo "&amp;SUMPRODUCT((Tavoli!$E$2:$AB$41=AD77)*Tavoli!$A$2:$A$41))))</f>
        <v/>
      </c>
    </row>
    <row r="78">
      <c r="A78" s="7" t="n"/>
      <c r="B78" s="7" t="n"/>
      <c r="C78" s="7" t="n"/>
      <c r="D78" s="7" t="n"/>
      <c r="E78" s="7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7" t="n"/>
      <c r="AC78" s="7" t="n"/>
      <c r="AD78" s="9">
        <f>IF(OR(A78&lt;&gt;"",B78&lt;&gt;""),TRIM(A78&amp;" "&amp;B78),"")</f>
        <v/>
      </c>
      <c r="AE78" s="9">
        <f>IF(AD78="","",IF(COUNTIF(Tavoli!$E$2:$AB$41,AD78)=0,"Da assegnare",IF(COUNTIF(Tavoli!$E$2:$AB$41,AD78)&gt;1,"DUPLICATO","Tavolo "&amp;SUMPRODUCT((Tavoli!$E$2:$AB$41=AD78)*Tavoli!$A$2:$A$41))))</f>
        <v/>
      </c>
    </row>
    <row r="79">
      <c r="A79" s="7" t="n"/>
      <c r="B79" s="7" t="n"/>
      <c r="C79" s="7" t="n"/>
      <c r="D79" s="7" t="n"/>
      <c r="E79" s="7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7" t="n"/>
      <c r="AC79" s="7" t="n"/>
      <c r="AD79" s="9">
        <f>IF(OR(A79&lt;&gt;"",B79&lt;&gt;""),TRIM(A79&amp;" "&amp;B79),"")</f>
        <v/>
      </c>
      <c r="AE79" s="9">
        <f>IF(AD79="","",IF(COUNTIF(Tavoli!$E$2:$AB$41,AD79)=0,"Da assegnare",IF(COUNTIF(Tavoli!$E$2:$AB$41,AD79)&gt;1,"DUPLICATO","Tavolo "&amp;SUMPRODUCT((Tavoli!$E$2:$AB$41=AD79)*Tavoli!$A$2:$A$41))))</f>
        <v/>
      </c>
    </row>
    <row r="80">
      <c r="A80" s="7" t="n"/>
      <c r="B80" s="7" t="n"/>
      <c r="C80" s="7" t="n"/>
      <c r="D80" s="7" t="n"/>
      <c r="E80" s="7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7" t="n"/>
      <c r="AC80" s="7" t="n"/>
      <c r="AD80" s="9">
        <f>IF(OR(A80&lt;&gt;"",B80&lt;&gt;""),TRIM(A80&amp;" "&amp;B80),"")</f>
        <v/>
      </c>
      <c r="AE80" s="9">
        <f>IF(AD80="","",IF(COUNTIF(Tavoli!$E$2:$AB$41,AD80)=0,"Da assegnare",IF(COUNTIF(Tavoli!$E$2:$AB$41,AD80)&gt;1,"DUPLICATO","Tavolo "&amp;SUMPRODUCT((Tavoli!$E$2:$AB$41=AD80)*Tavoli!$A$2:$A$41))))</f>
        <v/>
      </c>
    </row>
    <row r="81">
      <c r="A81" s="7" t="n"/>
      <c r="B81" s="7" t="n"/>
      <c r="C81" s="7" t="n"/>
      <c r="D81" s="7" t="n"/>
      <c r="E81" s="7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7" t="n"/>
      <c r="AC81" s="7" t="n"/>
      <c r="AD81" s="9">
        <f>IF(OR(A81&lt;&gt;"",B81&lt;&gt;""),TRIM(A81&amp;" "&amp;B81),"")</f>
        <v/>
      </c>
      <c r="AE81" s="9">
        <f>IF(AD81="","",IF(COUNTIF(Tavoli!$E$2:$AB$41,AD81)=0,"Da assegnare",IF(COUNTIF(Tavoli!$E$2:$AB$41,AD81)&gt;1,"DUPLICATO","Tavolo "&amp;SUMPRODUCT((Tavoli!$E$2:$AB$41=AD81)*Tavoli!$A$2:$A$41))))</f>
        <v/>
      </c>
    </row>
    <row r="82">
      <c r="A82" s="7" t="n"/>
      <c r="B82" s="7" t="n"/>
      <c r="C82" s="7" t="n"/>
      <c r="D82" s="7" t="n"/>
      <c r="E82" s="7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7" t="n"/>
      <c r="AC82" s="7" t="n"/>
      <c r="AD82" s="9">
        <f>IF(OR(A82&lt;&gt;"",B82&lt;&gt;""),TRIM(A82&amp;" "&amp;B82),"")</f>
        <v/>
      </c>
      <c r="AE82" s="9">
        <f>IF(AD82="","",IF(COUNTIF(Tavoli!$E$2:$AB$41,AD82)=0,"Da assegnare",IF(COUNTIF(Tavoli!$E$2:$AB$41,AD82)&gt;1,"DUPLICATO","Tavolo "&amp;SUMPRODUCT((Tavoli!$E$2:$AB$41=AD82)*Tavoli!$A$2:$A$41))))</f>
        <v/>
      </c>
    </row>
    <row r="83">
      <c r="A83" s="7" t="n"/>
      <c r="B83" s="7" t="n"/>
      <c r="C83" s="7" t="n"/>
      <c r="D83" s="7" t="n"/>
      <c r="E83" s="7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7" t="n"/>
      <c r="AC83" s="7" t="n"/>
      <c r="AD83" s="9">
        <f>IF(OR(A83&lt;&gt;"",B83&lt;&gt;""),TRIM(A83&amp;" "&amp;B83),"")</f>
        <v/>
      </c>
      <c r="AE83" s="9">
        <f>IF(AD83="","",IF(COUNTIF(Tavoli!$E$2:$AB$41,AD83)=0,"Da assegnare",IF(COUNTIF(Tavoli!$E$2:$AB$41,AD83)&gt;1,"DUPLICATO","Tavolo "&amp;SUMPRODUCT((Tavoli!$E$2:$AB$41=AD83)*Tavoli!$A$2:$A$41))))</f>
        <v/>
      </c>
    </row>
    <row r="84">
      <c r="A84" s="7" t="n"/>
      <c r="B84" s="7" t="n"/>
      <c r="C84" s="7" t="n"/>
      <c r="D84" s="7" t="n"/>
      <c r="E84" s="7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7" t="n"/>
      <c r="AC84" s="7" t="n"/>
      <c r="AD84" s="9">
        <f>IF(OR(A84&lt;&gt;"",B84&lt;&gt;""),TRIM(A84&amp;" "&amp;B84),"")</f>
        <v/>
      </c>
      <c r="AE84" s="9">
        <f>IF(AD84="","",IF(COUNTIF(Tavoli!$E$2:$AB$41,AD84)=0,"Da assegnare",IF(COUNTIF(Tavoli!$E$2:$AB$41,AD84)&gt;1,"DUPLICATO","Tavolo "&amp;SUMPRODUCT((Tavoli!$E$2:$AB$41=AD84)*Tavoli!$A$2:$A$41))))</f>
        <v/>
      </c>
    </row>
    <row r="85">
      <c r="A85" s="7" t="n"/>
      <c r="B85" s="7" t="n"/>
      <c r="C85" s="7" t="n"/>
      <c r="D85" s="7" t="n"/>
      <c r="E85" s="7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7" t="n"/>
      <c r="AC85" s="7" t="n"/>
      <c r="AD85" s="9">
        <f>IF(OR(A85&lt;&gt;"",B85&lt;&gt;""),TRIM(A85&amp;" "&amp;B85),"")</f>
        <v/>
      </c>
      <c r="AE85" s="9">
        <f>IF(AD85="","",IF(COUNTIF(Tavoli!$E$2:$AB$41,AD85)=0,"Da assegnare",IF(COUNTIF(Tavoli!$E$2:$AB$41,AD85)&gt;1,"DUPLICATO","Tavolo "&amp;SUMPRODUCT((Tavoli!$E$2:$AB$41=AD85)*Tavoli!$A$2:$A$41))))</f>
        <v/>
      </c>
    </row>
    <row r="86">
      <c r="A86" s="7" t="n"/>
      <c r="B86" s="7" t="n"/>
      <c r="C86" s="7" t="n"/>
      <c r="D86" s="7" t="n"/>
      <c r="E86" s="7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7" t="n"/>
      <c r="AC86" s="7" t="n"/>
      <c r="AD86" s="9">
        <f>IF(OR(A86&lt;&gt;"",B86&lt;&gt;""),TRIM(A86&amp;" "&amp;B86),"")</f>
        <v/>
      </c>
      <c r="AE86" s="9">
        <f>IF(AD86="","",IF(COUNTIF(Tavoli!$E$2:$AB$41,AD86)=0,"Da assegnare",IF(COUNTIF(Tavoli!$E$2:$AB$41,AD86)&gt;1,"DUPLICATO","Tavolo "&amp;SUMPRODUCT((Tavoli!$E$2:$AB$41=AD86)*Tavoli!$A$2:$A$41))))</f>
        <v/>
      </c>
    </row>
    <row r="87">
      <c r="A87" s="7" t="n"/>
      <c r="B87" s="7" t="n"/>
      <c r="C87" s="7" t="n"/>
      <c r="D87" s="7" t="n"/>
      <c r="E87" s="7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7" t="n"/>
      <c r="AC87" s="7" t="n"/>
      <c r="AD87" s="9">
        <f>IF(OR(A87&lt;&gt;"",B87&lt;&gt;""),TRIM(A87&amp;" "&amp;B87),"")</f>
        <v/>
      </c>
      <c r="AE87" s="9">
        <f>IF(AD87="","",IF(COUNTIF(Tavoli!$E$2:$AB$41,AD87)=0,"Da assegnare",IF(COUNTIF(Tavoli!$E$2:$AB$41,AD87)&gt;1,"DUPLICATO","Tavolo "&amp;SUMPRODUCT((Tavoli!$E$2:$AB$41=AD87)*Tavoli!$A$2:$A$41))))</f>
        <v/>
      </c>
    </row>
    <row r="88">
      <c r="A88" s="7" t="n"/>
      <c r="B88" s="7" t="n"/>
      <c r="C88" s="7" t="n"/>
      <c r="D88" s="7" t="n"/>
      <c r="E88" s="7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7" t="n"/>
      <c r="AC88" s="7" t="n"/>
      <c r="AD88" s="9">
        <f>IF(OR(A88&lt;&gt;"",B88&lt;&gt;""),TRIM(A88&amp;" "&amp;B88),"")</f>
        <v/>
      </c>
      <c r="AE88" s="9">
        <f>IF(AD88="","",IF(COUNTIF(Tavoli!$E$2:$AB$41,AD88)=0,"Da assegnare",IF(COUNTIF(Tavoli!$E$2:$AB$41,AD88)&gt;1,"DUPLICATO","Tavolo "&amp;SUMPRODUCT((Tavoli!$E$2:$AB$41=AD88)*Tavoli!$A$2:$A$41))))</f>
        <v/>
      </c>
    </row>
    <row r="89">
      <c r="A89" s="7" t="n"/>
      <c r="B89" s="7" t="n"/>
      <c r="C89" s="7" t="n"/>
      <c r="D89" s="7" t="n"/>
      <c r="E89" s="7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7" t="n"/>
      <c r="AC89" s="7" t="n"/>
      <c r="AD89" s="9">
        <f>IF(OR(A89&lt;&gt;"",B89&lt;&gt;""),TRIM(A89&amp;" "&amp;B89),"")</f>
        <v/>
      </c>
      <c r="AE89" s="9">
        <f>IF(AD89="","",IF(COUNTIF(Tavoli!$E$2:$AB$41,AD89)=0,"Da assegnare",IF(COUNTIF(Tavoli!$E$2:$AB$41,AD89)&gt;1,"DUPLICATO","Tavolo "&amp;SUMPRODUCT((Tavoli!$E$2:$AB$41=AD89)*Tavoli!$A$2:$A$41))))</f>
        <v/>
      </c>
    </row>
    <row r="90">
      <c r="A90" s="7" t="n"/>
      <c r="B90" s="7" t="n"/>
      <c r="C90" s="7" t="n"/>
      <c r="D90" s="7" t="n"/>
      <c r="E90" s="7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7" t="n"/>
      <c r="AC90" s="7" t="n"/>
      <c r="AD90" s="9">
        <f>IF(OR(A90&lt;&gt;"",B90&lt;&gt;""),TRIM(A90&amp;" "&amp;B90),"")</f>
        <v/>
      </c>
      <c r="AE90" s="9">
        <f>IF(AD90="","",IF(COUNTIF(Tavoli!$E$2:$AB$41,AD90)=0,"Da assegnare",IF(COUNTIF(Tavoli!$E$2:$AB$41,AD90)&gt;1,"DUPLICATO","Tavolo "&amp;SUMPRODUCT((Tavoli!$E$2:$AB$41=AD90)*Tavoli!$A$2:$A$41))))</f>
        <v/>
      </c>
    </row>
    <row r="91">
      <c r="A91" s="7" t="n"/>
      <c r="B91" s="7" t="n"/>
      <c r="C91" s="7" t="n"/>
      <c r="D91" s="7" t="n"/>
      <c r="E91" s="7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7" t="n"/>
      <c r="AC91" s="7" t="n"/>
      <c r="AD91" s="9">
        <f>IF(OR(A91&lt;&gt;"",B91&lt;&gt;""),TRIM(A91&amp;" "&amp;B91),"")</f>
        <v/>
      </c>
      <c r="AE91" s="9">
        <f>IF(AD91="","",IF(COUNTIF(Tavoli!$E$2:$AB$41,AD91)=0,"Da assegnare",IF(COUNTIF(Tavoli!$E$2:$AB$41,AD91)&gt;1,"DUPLICATO","Tavolo "&amp;SUMPRODUCT((Tavoli!$E$2:$AB$41=AD91)*Tavoli!$A$2:$A$41))))</f>
        <v/>
      </c>
    </row>
    <row r="92">
      <c r="A92" s="7" t="n"/>
      <c r="B92" s="7" t="n"/>
      <c r="C92" s="7" t="n"/>
      <c r="D92" s="7" t="n"/>
      <c r="E92" s="7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7" t="n"/>
      <c r="AC92" s="7" t="n"/>
      <c r="AD92" s="9">
        <f>IF(OR(A92&lt;&gt;"",B92&lt;&gt;""),TRIM(A92&amp;" "&amp;B92),"")</f>
        <v/>
      </c>
      <c r="AE92" s="9">
        <f>IF(AD92="","",IF(COUNTIF(Tavoli!$E$2:$AB$41,AD92)=0,"Da assegnare",IF(COUNTIF(Tavoli!$E$2:$AB$41,AD92)&gt;1,"DUPLICATO","Tavolo "&amp;SUMPRODUCT((Tavoli!$E$2:$AB$41=AD92)*Tavoli!$A$2:$A$41))))</f>
        <v/>
      </c>
    </row>
    <row r="93">
      <c r="A93" s="7" t="n"/>
      <c r="B93" s="7" t="n"/>
      <c r="C93" s="7" t="n"/>
      <c r="D93" s="7" t="n"/>
      <c r="E93" s="7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7" t="n"/>
      <c r="AC93" s="7" t="n"/>
      <c r="AD93" s="9">
        <f>IF(OR(A93&lt;&gt;"",B93&lt;&gt;""),TRIM(A93&amp;" "&amp;B93),"")</f>
        <v/>
      </c>
      <c r="AE93" s="9">
        <f>IF(AD93="","",IF(COUNTIF(Tavoli!$E$2:$AB$41,AD93)=0,"Da assegnare",IF(COUNTIF(Tavoli!$E$2:$AB$41,AD93)&gt;1,"DUPLICATO","Tavolo "&amp;SUMPRODUCT((Tavoli!$E$2:$AB$41=AD93)*Tavoli!$A$2:$A$41))))</f>
        <v/>
      </c>
    </row>
    <row r="94">
      <c r="A94" s="7" t="n"/>
      <c r="B94" s="7" t="n"/>
      <c r="C94" s="7" t="n"/>
      <c r="D94" s="7" t="n"/>
      <c r="E94" s="7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7" t="n"/>
      <c r="AC94" s="7" t="n"/>
      <c r="AD94" s="9">
        <f>IF(OR(A94&lt;&gt;"",B94&lt;&gt;""),TRIM(A94&amp;" "&amp;B94),"")</f>
        <v/>
      </c>
      <c r="AE94" s="9">
        <f>IF(AD94="","",IF(COUNTIF(Tavoli!$E$2:$AB$41,AD94)=0,"Da assegnare",IF(COUNTIF(Tavoli!$E$2:$AB$41,AD94)&gt;1,"DUPLICATO","Tavolo "&amp;SUMPRODUCT((Tavoli!$E$2:$AB$41=AD94)*Tavoli!$A$2:$A$41))))</f>
        <v/>
      </c>
    </row>
    <row r="95">
      <c r="A95" s="7" t="n"/>
      <c r="B95" s="7" t="n"/>
      <c r="C95" s="7" t="n"/>
      <c r="D95" s="7" t="n"/>
      <c r="E95" s="7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7" t="n"/>
      <c r="AC95" s="7" t="n"/>
      <c r="AD95" s="9">
        <f>IF(OR(A95&lt;&gt;"",B95&lt;&gt;""),TRIM(A95&amp;" "&amp;B95),"")</f>
        <v/>
      </c>
      <c r="AE95" s="9">
        <f>IF(AD95="","",IF(COUNTIF(Tavoli!$E$2:$AB$41,AD95)=0,"Da assegnare",IF(COUNTIF(Tavoli!$E$2:$AB$41,AD95)&gt;1,"DUPLICATO","Tavolo "&amp;SUMPRODUCT((Tavoli!$E$2:$AB$41=AD95)*Tavoli!$A$2:$A$41))))</f>
        <v/>
      </c>
    </row>
    <row r="96">
      <c r="A96" s="7" t="n"/>
      <c r="B96" s="7" t="n"/>
      <c r="C96" s="7" t="n"/>
      <c r="D96" s="7" t="n"/>
      <c r="E96" s="7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7" t="n"/>
      <c r="AC96" s="7" t="n"/>
      <c r="AD96" s="9">
        <f>IF(OR(A96&lt;&gt;"",B96&lt;&gt;""),TRIM(A96&amp;" "&amp;B96),"")</f>
        <v/>
      </c>
      <c r="AE96" s="9">
        <f>IF(AD96="","",IF(COUNTIF(Tavoli!$E$2:$AB$41,AD96)=0,"Da assegnare",IF(COUNTIF(Tavoli!$E$2:$AB$41,AD96)&gt;1,"DUPLICATO","Tavolo "&amp;SUMPRODUCT((Tavoli!$E$2:$AB$41=AD96)*Tavoli!$A$2:$A$41))))</f>
        <v/>
      </c>
    </row>
    <row r="97">
      <c r="A97" s="7" t="n"/>
      <c r="B97" s="7" t="n"/>
      <c r="C97" s="7" t="n"/>
      <c r="D97" s="7" t="n"/>
      <c r="E97" s="7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7" t="n"/>
      <c r="AC97" s="7" t="n"/>
      <c r="AD97" s="9">
        <f>IF(OR(A97&lt;&gt;"",B97&lt;&gt;""),TRIM(A97&amp;" "&amp;B97),"")</f>
        <v/>
      </c>
      <c r="AE97" s="9">
        <f>IF(AD97="","",IF(COUNTIF(Tavoli!$E$2:$AB$41,AD97)=0,"Da assegnare",IF(COUNTIF(Tavoli!$E$2:$AB$41,AD97)&gt;1,"DUPLICATO","Tavolo "&amp;SUMPRODUCT((Tavoli!$E$2:$AB$41=AD97)*Tavoli!$A$2:$A$41))))</f>
        <v/>
      </c>
    </row>
    <row r="98">
      <c r="A98" s="7" t="n"/>
      <c r="B98" s="7" t="n"/>
      <c r="C98" s="7" t="n"/>
      <c r="D98" s="7" t="n"/>
      <c r="E98" s="7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7" t="n"/>
      <c r="AC98" s="7" t="n"/>
      <c r="AD98" s="9">
        <f>IF(OR(A98&lt;&gt;"",B98&lt;&gt;""),TRIM(A98&amp;" "&amp;B98),"")</f>
        <v/>
      </c>
      <c r="AE98" s="9">
        <f>IF(AD98="","",IF(COUNTIF(Tavoli!$E$2:$AB$41,AD98)=0,"Da assegnare",IF(COUNTIF(Tavoli!$E$2:$AB$41,AD98)&gt;1,"DUPLICATO","Tavolo "&amp;SUMPRODUCT((Tavoli!$E$2:$AB$41=AD98)*Tavoli!$A$2:$A$41))))</f>
        <v/>
      </c>
    </row>
    <row r="99">
      <c r="A99" s="7" t="n"/>
      <c r="B99" s="7" t="n"/>
      <c r="C99" s="7" t="n"/>
      <c r="D99" s="7" t="n"/>
      <c r="E99" s="7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7" t="n"/>
      <c r="AC99" s="7" t="n"/>
      <c r="AD99" s="9">
        <f>IF(OR(A99&lt;&gt;"",B99&lt;&gt;""),TRIM(A99&amp;" "&amp;B99),"")</f>
        <v/>
      </c>
      <c r="AE99" s="9">
        <f>IF(AD99="","",IF(COUNTIF(Tavoli!$E$2:$AB$41,AD99)=0,"Da assegnare",IF(COUNTIF(Tavoli!$E$2:$AB$41,AD99)&gt;1,"DUPLICATO","Tavolo "&amp;SUMPRODUCT((Tavoli!$E$2:$AB$41=AD99)*Tavoli!$A$2:$A$41))))</f>
        <v/>
      </c>
    </row>
    <row r="100">
      <c r="A100" s="7" t="n"/>
      <c r="B100" s="7" t="n"/>
      <c r="C100" s="7" t="n"/>
      <c r="D100" s="7" t="n"/>
      <c r="E100" s="7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7" t="n"/>
      <c r="AC100" s="7" t="n"/>
      <c r="AD100" s="9">
        <f>IF(OR(A100&lt;&gt;"",B100&lt;&gt;""),TRIM(A100&amp;" "&amp;B100),"")</f>
        <v/>
      </c>
      <c r="AE100" s="9">
        <f>IF(AD100="","",IF(COUNTIF(Tavoli!$E$2:$AB$41,AD100)=0,"Da assegnare",IF(COUNTIF(Tavoli!$E$2:$AB$41,AD100)&gt;1,"DUPLICATO","Tavolo "&amp;SUMPRODUCT((Tavoli!$E$2:$AB$41=AD100)*Tavoli!$A$2:$A$41))))</f>
        <v/>
      </c>
    </row>
    <row r="10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7" t="n"/>
      <c r="AC101" s="7" t="n"/>
      <c r="AD101" s="9">
        <f>IF(OR(A101&lt;&gt;"",B101&lt;&gt;""),TRIM(A101&amp;" "&amp;B101),"")</f>
        <v/>
      </c>
      <c r="AE101" s="9">
        <f>IF(AD101="","",IF(COUNTIF(Tavoli!$E$2:$AB$41,AD101)=0,"Da assegnare",IF(COUNTIF(Tavoli!$E$2:$AB$41,AD101)&gt;1,"DUPLICATO","Tavolo "&amp;SUMPRODUCT((Tavoli!$E$2:$AB$41=AD101)*Tavoli!$A$2:$A$41))))</f>
        <v/>
      </c>
    </row>
    <row r="102">
      <c r="A102" s="7" t="n"/>
      <c r="B102" s="7" t="n"/>
      <c r="C102" s="7" t="n"/>
      <c r="D102" s="7" t="n"/>
      <c r="E102" s="7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7" t="n"/>
      <c r="AC102" s="7" t="n"/>
      <c r="AD102" s="9">
        <f>IF(OR(A102&lt;&gt;"",B102&lt;&gt;""),TRIM(A102&amp;" "&amp;B102),"")</f>
        <v/>
      </c>
      <c r="AE102" s="9">
        <f>IF(AD102="","",IF(COUNTIF(Tavoli!$E$2:$AB$41,AD102)=0,"Da assegnare",IF(COUNTIF(Tavoli!$E$2:$AB$41,AD102)&gt;1,"DUPLICATO","Tavolo "&amp;SUMPRODUCT((Tavoli!$E$2:$AB$41=AD102)*Tavoli!$A$2:$A$41))))</f>
        <v/>
      </c>
    </row>
    <row r="103">
      <c r="A103" s="7" t="n"/>
      <c r="B103" s="7" t="n"/>
      <c r="C103" s="7" t="n"/>
      <c r="D103" s="7" t="n"/>
      <c r="E103" s="7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7" t="n"/>
      <c r="AC103" s="7" t="n"/>
      <c r="AD103" s="9">
        <f>IF(OR(A103&lt;&gt;"",B103&lt;&gt;""),TRIM(A103&amp;" "&amp;B103),"")</f>
        <v/>
      </c>
      <c r="AE103" s="9">
        <f>IF(AD103="","",IF(COUNTIF(Tavoli!$E$2:$AB$41,AD103)=0,"Da assegnare",IF(COUNTIF(Tavoli!$E$2:$AB$41,AD103)&gt;1,"DUPLICATO","Tavolo "&amp;SUMPRODUCT((Tavoli!$E$2:$AB$41=AD103)*Tavoli!$A$2:$A$41))))</f>
        <v/>
      </c>
    </row>
    <row r="104">
      <c r="A104" s="7" t="n"/>
      <c r="B104" s="7" t="n"/>
      <c r="C104" s="7" t="n"/>
      <c r="D104" s="7" t="n"/>
      <c r="E104" s="7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7" t="n"/>
      <c r="AC104" s="7" t="n"/>
      <c r="AD104" s="9">
        <f>IF(OR(A104&lt;&gt;"",B104&lt;&gt;""),TRIM(A104&amp;" "&amp;B104),"")</f>
        <v/>
      </c>
      <c r="AE104" s="9">
        <f>IF(AD104="","",IF(COUNTIF(Tavoli!$E$2:$AB$41,AD104)=0,"Da assegnare",IF(COUNTIF(Tavoli!$E$2:$AB$41,AD104)&gt;1,"DUPLICATO","Tavolo "&amp;SUMPRODUCT((Tavoli!$E$2:$AB$41=AD104)*Tavoli!$A$2:$A$41))))</f>
        <v/>
      </c>
    </row>
    <row r="105">
      <c r="A105" s="7" t="n"/>
      <c r="B105" s="7" t="n"/>
      <c r="C105" s="7" t="n"/>
      <c r="D105" s="7" t="n"/>
      <c r="E105" s="7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7" t="n"/>
      <c r="AC105" s="7" t="n"/>
      <c r="AD105" s="9">
        <f>IF(OR(A105&lt;&gt;"",B105&lt;&gt;""),TRIM(A105&amp;" "&amp;B105),"")</f>
        <v/>
      </c>
      <c r="AE105" s="9">
        <f>IF(AD105="","",IF(COUNTIF(Tavoli!$E$2:$AB$41,AD105)=0,"Da assegnare",IF(COUNTIF(Tavoli!$E$2:$AB$41,AD105)&gt;1,"DUPLICATO","Tavolo "&amp;SUMPRODUCT((Tavoli!$E$2:$AB$41=AD105)*Tavoli!$A$2:$A$41))))</f>
        <v/>
      </c>
    </row>
    <row r="106">
      <c r="A106" s="7" t="n"/>
      <c r="B106" s="7" t="n"/>
      <c r="C106" s="7" t="n"/>
      <c r="D106" s="7" t="n"/>
      <c r="E106" s="7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7" t="n"/>
      <c r="AC106" s="7" t="n"/>
      <c r="AD106" s="9">
        <f>IF(OR(A106&lt;&gt;"",B106&lt;&gt;""),TRIM(A106&amp;" "&amp;B106),"")</f>
        <v/>
      </c>
      <c r="AE106" s="9">
        <f>IF(AD106="","",IF(COUNTIF(Tavoli!$E$2:$AB$41,AD106)=0,"Da assegnare",IF(COUNTIF(Tavoli!$E$2:$AB$41,AD106)&gt;1,"DUPLICATO","Tavolo "&amp;SUMPRODUCT((Tavoli!$E$2:$AB$41=AD106)*Tavoli!$A$2:$A$41))))</f>
        <v/>
      </c>
    </row>
    <row r="107">
      <c r="A107" s="7" t="n"/>
      <c r="B107" s="7" t="n"/>
      <c r="C107" s="7" t="n"/>
      <c r="D107" s="7" t="n"/>
      <c r="E107" s="7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7" t="n"/>
      <c r="AC107" s="7" t="n"/>
      <c r="AD107" s="9">
        <f>IF(OR(A107&lt;&gt;"",B107&lt;&gt;""),TRIM(A107&amp;" "&amp;B107),"")</f>
        <v/>
      </c>
      <c r="AE107" s="9">
        <f>IF(AD107="","",IF(COUNTIF(Tavoli!$E$2:$AB$41,AD107)=0,"Da assegnare",IF(COUNTIF(Tavoli!$E$2:$AB$41,AD107)&gt;1,"DUPLICATO","Tavolo "&amp;SUMPRODUCT((Tavoli!$E$2:$AB$41=AD107)*Tavoli!$A$2:$A$41))))</f>
        <v/>
      </c>
    </row>
    <row r="108">
      <c r="A108" s="7" t="n"/>
      <c r="B108" s="7" t="n"/>
      <c r="C108" s="7" t="n"/>
      <c r="D108" s="7" t="n"/>
      <c r="E108" s="7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7" t="n"/>
      <c r="AC108" s="7" t="n"/>
      <c r="AD108" s="9">
        <f>IF(OR(A108&lt;&gt;"",B108&lt;&gt;""),TRIM(A108&amp;" "&amp;B108),"")</f>
        <v/>
      </c>
      <c r="AE108" s="9">
        <f>IF(AD108="","",IF(COUNTIF(Tavoli!$E$2:$AB$41,AD108)=0,"Da assegnare",IF(COUNTIF(Tavoli!$E$2:$AB$41,AD108)&gt;1,"DUPLICATO","Tavolo "&amp;SUMPRODUCT((Tavoli!$E$2:$AB$41=AD108)*Tavoli!$A$2:$A$41))))</f>
        <v/>
      </c>
    </row>
    <row r="109">
      <c r="A109" s="7" t="n"/>
      <c r="B109" s="7" t="n"/>
      <c r="C109" s="7" t="n"/>
      <c r="D109" s="7" t="n"/>
      <c r="E109" s="7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7" t="n"/>
      <c r="AC109" s="7" t="n"/>
      <c r="AD109" s="9">
        <f>IF(OR(A109&lt;&gt;"",B109&lt;&gt;""),TRIM(A109&amp;" "&amp;B109),"")</f>
        <v/>
      </c>
      <c r="AE109" s="9">
        <f>IF(AD109="","",IF(COUNTIF(Tavoli!$E$2:$AB$41,AD109)=0,"Da assegnare",IF(COUNTIF(Tavoli!$E$2:$AB$41,AD109)&gt;1,"DUPLICATO","Tavolo "&amp;SUMPRODUCT((Tavoli!$E$2:$AB$41=AD109)*Tavoli!$A$2:$A$41))))</f>
        <v/>
      </c>
    </row>
    <row r="110">
      <c r="A110" s="7" t="n"/>
      <c r="B110" s="7" t="n"/>
      <c r="C110" s="7" t="n"/>
      <c r="D110" s="7" t="n"/>
      <c r="E110" s="7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7" t="n"/>
      <c r="AC110" s="7" t="n"/>
      <c r="AD110" s="9">
        <f>IF(OR(A110&lt;&gt;"",B110&lt;&gt;""),TRIM(A110&amp;" "&amp;B110),"")</f>
        <v/>
      </c>
      <c r="AE110" s="9">
        <f>IF(AD110="","",IF(COUNTIF(Tavoli!$E$2:$AB$41,AD110)=0,"Da assegnare",IF(COUNTIF(Tavoli!$E$2:$AB$41,AD110)&gt;1,"DUPLICATO","Tavolo "&amp;SUMPRODUCT((Tavoli!$E$2:$AB$41=AD110)*Tavoli!$A$2:$A$41))))</f>
        <v/>
      </c>
    </row>
    <row r="111">
      <c r="A111" s="7" t="n"/>
      <c r="B111" s="7" t="n"/>
      <c r="C111" s="7" t="n"/>
      <c r="D111" s="7" t="n"/>
      <c r="E111" s="7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7" t="n"/>
      <c r="AC111" s="7" t="n"/>
      <c r="AD111" s="9">
        <f>IF(OR(A111&lt;&gt;"",B111&lt;&gt;""),TRIM(A111&amp;" "&amp;B111),"")</f>
        <v/>
      </c>
      <c r="AE111" s="9">
        <f>IF(AD111="","",IF(COUNTIF(Tavoli!$E$2:$AB$41,AD111)=0,"Da assegnare",IF(COUNTIF(Tavoli!$E$2:$AB$41,AD111)&gt;1,"DUPLICATO","Tavolo "&amp;SUMPRODUCT((Tavoli!$E$2:$AB$41=AD111)*Tavoli!$A$2:$A$41))))</f>
        <v/>
      </c>
    </row>
    <row r="112">
      <c r="A112" s="7" t="n"/>
      <c r="B112" s="7" t="n"/>
      <c r="C112" s="7" t="n"/>
      <c r="D112" s="7" t="n"/>
      <c r="E112" s="7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7" t="n"/>
      <c r="AC112" s="7" t="n"/>
      <c r="AD112" s="9">
        <f>IF(OR(A112&lt;&gt;"",B112&lt;&gt;""),TRIM(A112&amp;" "&amp;B112),"")</f>
        <v/>
      </c>
      <c r="AE112" s="9">
        <f>IF(AD112="","",IF(COUNTIF(Tavoli!$E$2:$AB$41,AD112)=0,"Da assegnare",IF(COUNTIF(Tavoli!$E$2:$AB$41,AD112)&gt;1,"DUPLICATO","Tavolo "&amp;SUMPRODUCT((Tavoli!$E$2:$AB$41=AD112)*Tavoli!$A$2:$A$41))))</f>
        <v/>
      </c>
    </row>
    <row r="113">
      <c r="A113" s="7" t="n"/>
      <c r="B113" s="7" t="n"/>
      <c r="C113" s="7" t="n"/>
      <c r="D113" s="7" t="n"/>
      <c r="E113" s="7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7" t="n"/>
      <c r="AC113" s="7" t="n"/>
      <c r="AD113" s="9">
        <f>IF(OR(A113&lt;&gt;"",B113&lt;&gt;""),TRIM(A113&amp;" "&amp;B113),"")</f>
        <v/>
      </c>
      <c r="AE113" s="9">
        <f>IF(AD113="","",IF(COUNTIF(Tavoli!$E$2:$AB$41,AD113)=0,"Da assegnare",IF(COUNTIF(Tavoli!$E$2:$AB$41,AD113)&gt;1,"DUPLICATO","Tavolo "&amp;SUMPRODUCT((Tavoli!$E$2:$AB$41=AD113)*Tavoli!$A$2:$A$41))))</f>
        <v/>
      </c>
    </row>
    <row r="114">
      <c r="A114" s="7" t="n"/>
      <c r="B114" s="7" t="n"/>
      <c r="C114" s="7" t="n"/>
      <c r="D114" s="7" t="n"/>
      <c r="E114" s="7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7" t="n"/>
      <c r="AC114" s="7" t="n"/>
      <c r="AD114" s="9">
        <f>IF(OR(A114&lt;&gt;"",B114&lt;&gt;""),TRIM(A114&amp;" "&amp;B114),"")</f>
        <v/>
      </c>
      <c r="AE114" s="9">
        <f>IF(AD114="","",IF(COUNTIF(Tavoli!$E$2:$AB$41,AD114)=0,"Da assegnare",IF(COUNTIF(Tavoli!$E$2:$AB$41,AD114)&gt;1,"DUPLICATO","Tavolo "&amp;SUMPRODUCT((Tavoli!$E$2:$AB$41=AD114)*Tavoli!$A$2:$A$41))))</f>
        <v/>
      </c>
    </row>
    <row r="115">
      <c r="A115" s="7" t="n"/>
      <c r="B115" s="7" t="n"/>
      <c r="C115" s="7" t="n"/>
      <c r="D115" s="7" t="n"/>
      <c r="E115" s="7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7" t="n"/>
      <c r="AC115" s="7" t="n"/>
      <c r="AD115" s="9">
        <f>IF(OR(A115&lt;&gt;"",B115&lt;&gt;""),TRIM(A115&amp;" "&amp;B115),"")</f>
        <v/>
      </c>
      <c r="AE115" s="9">
        <f>IF(AD115="","",IF(COUNTIF(Tavoli!$E$2:$AB$41,AD115)=0,"Da assegnare",IF(COUNTIF(Tavoli!$E$2:$AB$41,AD115)&gt;1,"DUPLICATO","Tavolo "&amp;SUMPRODUCT((Tavoli!$E$2:$AB$41=AD115)*Tavoli!$A$2:$A$41))))</f>
        <v/>
      </c>
    </row>
    <row r="116">
      <c r="A116" s="7" t="n"/>
      <c r="B116" s="7" t="n"/>
      <c r="C116" s="7" t="n"/>
      <c r="D116" s="7" t="n"/>
      <c r="E116" s="7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7" t="n"/>
      <c r="AC116" s="7" t="n"/>
      <c r="AD116" s="9">
        <f>IF(OR(A116&lt;&gt;"",B116&lt;&gt;""),TRIM(A116&amp;" "&amp;B116),"")</f>
        <v/>
      </c>
      <c r="AE116" s="9">
        <f>IF(AD116="","",IF(COUNTIF(Tavoli!$E$2:$AB$41,AD116)=0,"Da assegnare",IF(COUNTIF(Tavoli!$E$2:$AB$41,AD116)&gt;1,"DUPLICATO","Tavolo "&amp;SUMPRODUCT((Tavoli!$E$2:$AB$41=AD116)*Tavoli!$A$2:$A$41))))</f>
        <v/>
      </c>
    </row>
    <row r="117">
      <c r="A117" s="7" t="n"/>
      <c r="B117" s="7" t="n"/>
      <c r="C117" s="7" t="n"/>
      <c r="D117" s="7" t="n"/>
      <c r="E117" s="7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7" t="n"/>
      <c r="AC117" s="7" t="n"/>
      <c r="AD117" s="9">
        <f>IF(OR(A117&lt;&gt;"",B117&lt;&gt;""),TRIM(A117&amp;" "&amp;B117),"")</f>
        <v/>
      </c>
      <c r="AE117" s="9">
        <f>IF(AD117="","",IF(COUNTIF(Tavoli!$E$2:$AB$41,AD117)=0,"Da assegnare",IF(COUNTIF(Tavoli!$E$2:$AB$41,AD117)&gt;1,"DUPLICATO","Tavolo "&amp;SUMPRODUCT((Tavoli!$E$2:$AB$41=AD117)*Tavoli!$A$2:$A$41))))</f>
        <v/>
      </c>
    </row>
    <row r="118">
      <c r="A118" s="7" t="n"/>
      <c r="B118" s="7" t="n"/>
      <c r="C118" s="7" t="n"/>
      <c r="D118" s="7" t="n"/>
      <c r="E118" s="7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7" t="n"/>
      <c r="AC118" s="7" t="n"/>
      <c r="AD118" s="9">
        <f>IF(OR(A118&lt;&gt;"",B118&lt;&gt;""),TRIM(A118&amp;" "&amp;B118),"")</f>
        <v/>
      </c>
      <c r="AE118" s="9">
        <f>IF(AD118="","",IF(COUNTIF(Tavoli!$E$2:$AB$41,AD118)=0,"Da assegnare",IF(COUNTIF(Tavoli!$E$2:$AB$41,AD118)&gt;1,"DUPLICATO","Tavolo "&amp;SUMPRODUCT((Tavoli!$E$2:$AB$41=AD118)*Tavoli!$A$2:$A$41))))</f>
        <v/>
      </c>
    </row>
    <row r="119">
      <c r="A119" s="7" t="n"/>
      <c r="B119" s="7" t="n"/>
      <c r="C119" s="7" t="n"/>
      <c r="D119" s="7" t="n"/>
      <c r="E119" s="7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7" t="n"/>
      <c r="AC119" s="7" t="n"/>
      <c r="AD119" s="9">
        <f>IF(OR(A119&lt;&gt;"",B119&lt;&gt;""),TRIM(A119&amp;" "&amp;B119),"")</f>
        <v/>
      </c>
      <c r="AE119" s="9">
        <f>IF(AD119="","",IF(COUNTIF(Tavoli!$E$2:$AB$41,AD119)=0,"Da assegnare",IF(COUNTIF(Tavoli!$E$2:$AB$41,AD119)&gt;1,"DUPLICATO","Tavolo "&amp;SUMPRODUCT((Tavoli!$E$2:$AB$41=AD119)*Tavoli!$A$2:$A$41))))</f>
        <v/>
      </c>
    </row>
    <row r="120">
      <c r="A120" s="7" t="n"/>
      <c r="B120" s="7" t="n"/>
      <c r="C120" s="7" t="n"/>
      <c r="D120" s="7" t="n"/>
      <c r="E120" s="7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7" t="n"/>
      <c r="AC120" s="7" t="n"/>
      <c r="AD120" s="9">
        <f>IF(OR(A120&lt;&gt;"",B120&lt;&gt;""),TRIM(A120&amp;" "&amp;B120),"")</f>
        <v/>
      </c>
      <c r="AE120" s="9">
        <f>IF(AD120="","",IF(COUNTIF(Tavoli!$E$2:$AB$41,AD120)=0,"Da assegnare",IF(COUNTIF(Tavoli!$E$2:$AB$41,AD120)&gt;1,"DUPLICATO","Tavolo "&amp;SUMPRODUCT((Tavoli!$E$2:$AB$41=AD120)*Tavoli!$A$2:$A$41))))</f>
        <v/>
      </c>
    </row>
    <row r="121">
      <c r="A121" s="7" t="n"/>
      <c r="B121" s="7" t="n"/>
      <c r="C121" s="7" t="n"/>
      <c r="D121" s="7" t="n"/>
      <c r="E121" s="7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7" t="n"/>
      <c r="AC121" s="7" t="n"/>
      <c r="AD121" s="9">
        <f>IF(OR(A121&lt;&gt;"",B121&lt;&gt;""),TRIM(A121&amp;" "&amp;B121),"")</f>
        <v/>
      </c>
      <c r="AE121" s="9">
        <f>IF(AD121="","",IF(COUNTIF(Tavoli!$E$2:$AB$41,AD121)=0,"Da assegnare",IF(COUNTIF(Tavoli!$E$2:$AB$41,AD121)&gt;1,"DUPLICATO","Tavolo "&amp;SUMPRODUCT((Tavoli!$E$2:$AB$41=AD121)*Tavoli!$A$2:$A$41))))</f>
        <v/>
      </c>
    </row>
    <row r="122">
      <c r="A122" s="7" t="n"/>
      <c r="B122" s="7" t="n"/>
      <c r="C122" s="7" t="n"/>
      <c r="D122" s="7" t="n"/>
      <c r="E122" s="7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7" t="n"/>
      <c r="AC122" s="7" t="n"/>
      <c r="AD122" s="9">
        <f>IF(OR(A122&lt;&gt;"",B122&lt;&gt;""),TRIM(A122&amp;" "&amp;B122),"")</f>
        <v/>
      </c>
      <c r="AE122" s="9">
        <f>IF(AD122="","",IF(COUNTIF(Tavoli!$E$2:$AB$41,AD122)=0,"Da assegnare",IF(COUNTIF(Tavoli!$E$2:$AB$41,AD122)&gt;1,"DUPLICATO","Tavolo "&amp;SUMPRODUCT((Tavoli!$E$2:$AB$41=AD122)*Tavoli!$A$2:$A$41))))</f>
        <v/>
      </c>
    </row>
    <row r="123">
      <c r="A123" s="7" t="n"/>
      <c r="B123" s="7" t="n"/>
      <c r="C123" s="7" t="n"/>
      <c r="D123" s="7" t="n"/>
      <c r="E123" s="7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7" t="n"/>
      <c r="AC123" s="7" t="n"/>
      <c r="AD123" s="9">
        <f>IF(OR(A123&lt;&gt;"",B123&lt;&gt;""),TRIM(A123&amp;" "&amp;B123),"")</f>
        <v/>
      </c>
      <c r="AE123" s="9">
        <f>IF(AD123="","",IF(COUNTIF(Tavoli!$E$2:$AB$41,AD123)=0,"Da assegnare",IF(COUNTIF(Tavoli!$E$2:$AB$41,AD123)&gt;1,"DUPLICATO","Tavolo "&amp;SUMPRODUCT((Tavoli!$E$2:$AB$41=AD123)*Tavoli!$A$2:$A$41))))</f>
        <v/>
      </c>
    </row>
    <row r="124">
      <c r="A124" s="7" t="n"/>
      <c r="B124" s="7" t="n"/>
      <c r="C124" s="7" t="n"/>
      <c r="D124" s="7" t="n"/>
      <c r="E124" s="7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7" t="n"/>
      <c r="AC124" s="7" t="n"/>
      <c r="AD124" s="9">
        <f>IF(OR(A124&lt;&gt;"",B124&lt;&gt;""),TRIM(A124&amp;" "&amp;B124),"")</f>
        <v/>
      </c>
      <c r="AE124" s="9">
        <f>IF(AD124="","",IF(COUNTIF(Tavoli!$E$2:$AB$41,AD124)=0,"Da assegnare",IF(COUNTIF(Tavoli!$E$2:$AB$41,AD124)&gt;1,"DUPLICATO","Tavolo "&amp;SUMPRODUCT((Tavoli!$E$2:$AB$41=AD124)*Tavoli!$A$2:$A$41))))</f>
        <v/>
      </c>
    </row>
    <row r="125">
      <c r="A125" s="7" t="n"/>
      <c r="B125" s="7" t="n"/>
      <c r="C125" s="7" t="n"/>
      <c r="D125" s="7" t="n"/>
      <c r="E125" s="7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7" t="n"/>
      <c r="AC125" s="7" t="n"/>
      <c r="AD125" s="9">
        <f>IF(OR(A125&lt;&gt;"",B125&lt;&gt;""),TRIM(A125&amp;" "&amp;B125),"")</f>
        <v/>
      </c>
      <c r="AE125" s="9">
        <f>IF(AD125="","",IF(COUNTIF(Tavoli!$E$2:$AB$41,AD125)=0,"Da assegnare",IF(COUNTIF(Tavoli!$E$2:$AB$41,AD125)&gt;1,"DUPLICATO","Tavolo "&amp;SUMPRODUCT((Tavoli!$E$2:$AB$41=AD125)*Tavoli!$A$2:$A$41))))</f>
        <v/>
      </c>
    </row>
    <row r="126">
      <c r="A126" s="7" t="n"/>
      <c r="B126" s="7" t="n"/>
      <c r="C126" s="7" t="n"/>
      <c r="D126" s="7" t="n"/>
      <c r="E126" s="7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7" t="n"/>
      <c r="AC126" s="7" t="n"/>
      <c r="AD126" s="9">
        <f>IF(OR(A126&lt;&gt;"",B126&lt;&gt;""),TRIM(A126&amp;" "&amp;B126),"")</f>
        <v/>
      </c>
      <c r="AE126" s="9">
        <f>IF(AD126="","",IF(COUNTIF(Tavoli!$E$2:$AB$41,AD126)=0,"Da assegnare",IF(COUNTIF(Tavoli!$E$2:$AB$41,AD126)&gt;1,"DUPLICATO","Tavolo "&amp;SUMPRODUCT((Tavoli!$E$2:$AB$41=AD126)*Tavoli!$A$2:$A$41))))</f>
        <v/>
      </c>
    </row>
    <row r="127">
      <c r="A127" s="7" t="n"/>
      <c r="B127" s="7" t="n"/>
      <c r="C127" s="7" t="n"/>
      <c r="D127" s="7" t="n"/>
      <c r="E127" s="7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7" t="n"/>
      <c r="AC127" s="7" t="n"/>
      <c r="AD127" s="9">
        <f>IF(OR(A127&lt;&gt;"",B127&lt;&gt;""),TRIM(A127&amp;" "&amp;B127),"")</f>
        <v/>
      </c>
      <c r="AE127" s="9">
        <f>IF(AD127="","",IF(COUNTIF(Tavoli!$E$2:$AB$41,AD127)=0,"Da assegnare",IF(COUNTIF(Tavoli!$E$2:$AB$41,AD127)&gt;1,"DUPLICATO","Tavolo "&amp;SUMPRODUCT((Tavoli!$E$2:$AB$41=AD127)*Tavoli!$A$2:$A$41))))</f>
        <v/>
      </c>
    </row>
    <row r="128">
      <c r="A128" s="7" t="n"/>
      <c r="B128" s="7" t="n"/>
      <c r="C128" s="7" t="n"/>
      <c r="D128" s="7" t="n"/>
      <c r="E128" s="7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7" t="n"/>
      <c r="AC128" s="7" t="n"/>
      <c r="AD128" s="9">
        <f>IF(OR(A128&lt;&gt;"",B128&lt;&gt;""),TRIM(A128&amp;" "&amp;B128),"")</f>
        <v/>
      </c>
      <c r="AE128" s="9">
        <f>IF(AD128="","",IF(COUNTIF(Tavoli!$E$2:$AB$41,AD128)=0,"Da assegnare",IF(COUNTIF(Tavoli!$E$2:$AB$41,AD128)&gt;1,"DUPLICATO","Tavolo "&amp;SUMPRODUCT((Tavoli!$E$2:$AB$41=AD128)*Tavoli!$A$2:$A$41))))</f>
        <v/>
      </c>
    </row>
    <row r="129">
      <c r="A129" s="7" t="n"/>
      <c r="B129" s="7" t="n"/>
      <c r="C129" s="7" t="n"/>
      <c r="D129" s="7" t="n"/>
      <c r="E129" s="7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7" t="n"/>
      <c r="AC129" s="7" t="n"/>
      <c r="AD129" s="9">
        <f>IF(OR(A129&lt;&gt;"",B129&lt;&gt;""),TRIM(A129&amp;" "&amp;B129),"")</f>
        <v/>
      </c>
      <c r="AE129" s="9">
        <f>IF(AD129="","",IF(COUNTIF(Tavoli!$E$2:$AB$41,AD129)=0,"Da assegnare",IF(COUNTIF(Tavoli!$E$2:$AB$41,AD129)&gt;1,"DUPLICATO","Tavolo "&amp;SUMPRODUCT((Tavoli!$E$2:$AB$41=AD129)*Tavoli!$A$2:$A$41))))</f>
        <v/>
      </c>
    </row>
    <row r="130">
      <c r="A130" s="7" t="n"/>
      <c r="B130" s="7" t="n"/>
      <c r="C130" s="7" t="n"/>
      <c r="D130" s="7" t="n"/>
      <c r="E130" s="7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7" t="n"/>
      <c r="AC130" s="7" t="n"/>
      <c r="AD130" s="9">
        <f>IF(OR(A130&lt;&gt;"",B130&lt;&gt;""),TRIM(A130&amp;" "&amp;B130),"")</f>
        <v/>
      </c>
      <c r="AE130" s="9">
        <f>IF(AD130="","",IF(COUNTIF(Tavoli!$E$2:$AB$41,AD130)=0,"Da assegnare",IF(COUNTIF(Tavoli!$E$2:$AB$41,AD130)&gt;1,"DUPLICATO","Tavolo "&amp;SUMPRODUCT((Tavoli!$E$2:$AB$41=AD130)*Tavoli!$A$2:$A$41))))</f>
        <v/>
      </c>
    </row>
    <row r="131">
      <c r="A131" s="7" t="n"/>
      <c r="B131" s="7" t="n"/>
      <c r="C131" s="7" t="n"/>
      <c r="D131" s="7" t="n"/>
      <c r="E131" s="7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7" t="n"/>
      <c r="AC131" s="7" t="n"/>
      <c r="AD131" s="9">
        <f>IF(OR(A131&lt;&gt;"",B131&lt;&gt;""),TRIM(A131&amp;" "&amp;B131),"")</f>
        <v/>
      </c>
      <c r="AE131" s="9">
        <f>IF(AD131="","",IF(COUNTIF(Tavoli!$E$2:$AB$41,AD131)=0,"Da assegnare",IF(COUNTIF(Tavoli!$E$2:$AB$41,AD131)&gt;1,"DUPLICATO","Tavolo "&amp;SUMPRODUCT((Tavoli!$E$2:$AB$41=AD131)*Tavoli!$A$2:$A$41))))</f>
        <v/>
      </c>
    </row>
    <row r="132">
      <c r="A132" s="7" t="n"/>
      <c r="B132" s="7" t="n"/>
      <c r="C132" s="7" t="n"/>
      <c r="D132" s="7" t="n"/>
      <c r="E132" s="7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7" t="n"/>
      <c r="AC132" s="7" t="n"/>
      <c r="AD132" s="9">
        <f>IF(OR(A132&lt;&gt;"",B132&lt;&gt;""),TRIM(A132&amp;" "&amp;B132),"")</f>
        <v/>
      </c>
      <c r="AE132" s="9">
        <f>IF(AD132="","",IF(COUNTIF(Tavoli!$E$2:$AB$41,AD132)=0,"Da assegnare",IF(COUNTIF(Tavoli!$E$2:$AB$41,AD132)&gt;1,"DUPLICATO","Tavolo "&amp;SUMPRODUCT((Tavoli!$E$2:$AB$41=AD132)*Tavoli!$A$2:$A$41))))</f>
        <v/>
      </c>
    </row>
    <row r="133">
      <c r="A133" s="7" t="n"/>
      <c r="B133" s="7" t="n"/>
      <c r="C133" s="7" t="n"/>
      <c r="D133" s="7" t="n"/>
      <c r="E133" s="7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7" t="n"/>
      <c r="AC133" s="7" t="n"/>
      <c r="AD133" s="9">
        <f>IF(OR(A133&lt;&gt;"",B133&lt;&gt;""),TRIM(A133&amp;" "&amp;B133),"")</f>
        <v/>
      </c>
      <c r="AE133" s="9">
        <f>IF(AD133="","",IF(COUNTIF(Tavoli!$E$2:$AB$41,AD133)=0,"Da assegnare",IF(COUNTIF(Tavoli!$E$2:$AB$41,AD133)&gt;1,"DUPLICATO","Tavolo "&amp;SUMPRODUCT((Tavoli!$E$2:$AB$41=AD133)*Tavoli!$A$2:$A$41))))</f>
        <v/>
      </c>
    </row>
    <row r="134">
      <c r="A134" s="7" t="n"/>
      <c r="B134" s="7" t="n"/>
      <c r="C134" s="7" t="n"/>
      <c r="D134" s="7" t="n"/>
      <c r="E134" s="7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7" t="n"/>
      <c r="AC134" s="7" t="n"/>
      <c r="AD134" s="9">
        <f>IF(OR(A134&lt;&gt;"",B134&lt;&gt;""),TRIM(A134&amp;" "&amp;B134),"")</f>
        <v/>
      </c>
      <c r="AE134" s="9">
        <f>IF(AD134="","",IF(COUNTIF(Tavoli!$E$2:$AB$41,AD134)=0,"Da assegnare",IF(COUNTIF(Tavoli!$E$2:$AB$41,AD134)&gt;1,"DUPLICATO","Tavolo "&amp;SUMPRODUCT((Tavoli!$E$2:$AB$41=AD134)*Tavoli!$A$2:$A$41))))</f>
        <v/>
      </c>
    </row>
    <row r="135">
      <c r="A135" s="7" t="n"/>
      <c r="B135" s="7" t="n"/>
      <c r="C135" s="7" t="n"/>
      <c r="D135" s="7" t="n"/>
      <c r="E135" s="7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7" t="n"/>
      <c r="AC135" s="7" t="n"/>
      <c r="AD135" s="9">
        <f>IF(OR(A135&lt;&gt;"",B135&lt;&gt;""),TRIM(A135&amp;" "&amp;B135),"")</f>
        <v/>
      </c>
      <c r="AE135" s="9">
        <f>IF(AD135="","",IF(COUNTIF(Tavoli!$E$2:$AB$41,AD135)=0,"Da assegnare",IF(COUNTIF(Tavoli!$E$2:$AB$41,AD135)&gt;1,"DUPLICATO","Tavolo "&amp;SUMPRODUCT((Tavoli!$E$2:$AB$41=AD135)*Tavoli!$A$2:$A$41))))</f>
        <v/>
      </c>
    </row>
    <row r="136">
      <c r="A136" s="7" t="n"/>
      <c r="B136" s="7" t="n"/>
      <c r="C136" s="7" t="n"/>
      <c r="D136" s="7" t="n"/>
      <c r="E136" s="7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7" t="n"/>
      <c r="AC136" s="7" t="n"/>
      <c r="AD136" s="9">
        <f>IF(OR(A136&lt;&gt;"",B136&lt;&gt;""),TRIM(A136&amp;" "&amp;B136),"")</f>
        <v/>
      </c>
      <c r="AE136" s="9">
        <f>IF(AD136="","",IF(COUNTIF(Tavoli!$E$2:$AB$41,AD136)=0,"Da assegnare",IF(COUNTIF(Tavoli!$E$2:$AB$41,AD136)&gt;1,"DUPLICATO","Tavolo "&amp;SUMPRODUCT((Tavoli!$E$2:$AB$41=AD136)*Tavoli!$A$2:$A$41))))</f>
        <v/>
      </c>
    </row>
    <row r="137">
      <c r="A137" s="7" t="n"/>
      <c r="B137" s="7" t="n"/>
      <c r="C137" s="7" t="n"/>
      <c r="D137" s="7" t="n"/>
      <c r="E137" s="7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7" t="n"/>
      <c r="AC137" s="7" t="n"/>
      <c r="AD137" s="9">
        <f>IF(OR(A137&lt;&gt;"",B137&lt;&gt;""),TRIM(A137&amp;" "&amp;B137),"")</f>
        <v/>
      </c>
      <c r="AE137" s="9">
        <f>IF(AD137="","",IF(COUNTIF(Tavoli!$E$2:$AB$41,AD137)=0,"Da assegnare",IF(COUNTIF(Tavoli!$E$2:$AB$41,AD137)&gt;1,"DUPLICATO","Tavolo "&amp;SUMPRODUCT((Tavoli!$E$2:$AB$41=AD137)*Tavoli!$A$2:$A$41))))</f>
        <v/>
      </c>
    </row>
    <row r="138">
      <c r="A138" s="7" t="n"/>
      <c r="B138" s="7" t="n"/>
      <c r="C138" s="7" t="n"/>
      <c r="D138" s="7" t="n"/>
      <c r="E138" s="7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7" t="n"/>
      <c r="AC138" s="7" t="n"/>
      <c r="AD138" s="9">
        <f>IF(OR(A138&lt;&gt;"",B138&lt;&gt;""),TRIM(A138&amp;" "&amp;B138),"")</f>
        <v/>
      </c>
      <c r="AE138" s="9">
        <f>IF(AD138="","",IF(COUNTIF(Tavoli!$E$2:$AB$41,AD138)=0,"Da assegnare",IF(COUNTIF(Tavoli!$E$2:$AB$41,AD138)&gt;1,"DUPLICATO","Tavolo "&amp;SUMPRODUCT((Tavoli!$E$2:$AB$41=AD138)*Tavoli!$A$2:$A$41))))</f>
        <v/>
      </c>
    </row>
    <row r="139">
      <c r="A139" s="7" t="n"/>
      <c r="B139" s="7" t="n"/>
      <c r="C139" s="7" t="n"/>
      <c r="D139" s="7" t="n"/>
      <c r="E139" s="7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7" t="n"/>
      <c r="AC139" s="7" t="n"/>
      <c r="AD139" s="9">
        <f>IF(OR(A139&lt;&gt;"",B139&lt;&gt;""),TRIM(A139&amp;" "&amp;B139),"")</f>
        <v/>
      </c>
      <c r="AE139" s="9">
        <f>IF(AD139="","",IF(COUNTIF(Tavoli!$E$2:$AB$41,AD139)=0,"Da assegnare",IF(COUNTIF(Tavoli!$E$2:$AB$41,AD139)&gt;1,"DUPLICATO","Tavolo "&amp;SUMPRODUCT((Tavoli!$E$2:$AB$41=AD139)*Tavoli!$A$2:$A$41))))</f>
        <v/>
      </c>
    </row>
    <row r="140">
      <c r="A140" s="7" t="n"/>
      <c r="B140" s="7" t="n"/>
      <c r="C140" s="7" t="n"/>
      <c r="D140" s="7" t="n"/>
      <c r="E140" s="7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7" t="n"/>
      <c r="AC140" s="7" t="n"/>
      <c r="AD140" s="9">
        <f>IF(OR(A140&lt;&gt;"",B140&lt;&gt;""),TRIM(A140&amp;" "&amp;B140),"")</f>
        <v/>
      </c>
      <c r="AE140" s="9">
        <f>IF(AD140="","",IF(COUNTIF(Tavoli!$E$2:$AB$41,AD140)=0,"Da assegnare",IF(COUNTIF(Tavoli!$E$2:$AB$41,AD140)&gt;1,"DUPLICATO","Tavolo "&amp;SUMPRODUCT((Tavoli!$E$2:$AB$41=AD140)*Tavoli!$A$2:$A$41))))</f>
        <v/>
      </c>
    </row>
    <row r="141">
      <c r="A141" s="7" t="n"/>
      <c r="B141" s="7" t="n"/>
      <c r="C141" s="7" t="n"/>
      <c r="D141" s="7" t="n"/>
      <c r="E141" s="7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7" t="n"/>
      <c r="AC141" s="7" t="n"/>
      <c r="AD141" s="9">
        <f>IF(OR(A141&lt;&gt;"",B141&lt;&gt;""),TRIM(A141&amp;" "&amp;B141),"")</f>
        <v/>
      </c>
      <c r="AE141" s="9">
        <f>IF(AD141="","",IF(COUNTIF(Tavoli!$E$2:$AB$41,AD141)=0,"Da assegnare",IF(COUNTIF(Tavoli!$E$2:$AB$41,AD141)&gt;1,"DUPLICATO","Tavolo "&amp;SUMPRODUCT((Tavoli!$E$2:$AB$41=AD141)*Tavoli!$A$2:$A$41))))</f>
        <v/>
      </c>
    </row>
    <row r="142">
      <c r="A142" s="7" t="n"/>
      <c r="B142" s="7" t="n"/>
      <c r="C142" s="7" t="n"/>
      <c r="D142" s="7" t="n"/>
      <c r="E142" s="7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7" t="n"/>
      <c r="AC142" s="7" t="n"/>
      <c r="AD142" s="9">
        <f>IF(OR(A142&lt;&gt;"",B142&lt;&gt;""),TRIM(A142&amp;" "&amp;B142),"")</f>
        <v/>
      </c>
      <c r="AE142" s="9">
        <f>IF(AD142="","",IF(COUNTIF(Tavoli!$E$2:$AB$41,AD142)=0,"Da assegnare",IF(COUNTIF(Tavoli!$E$2:$AB$41,AD142)&gt;1,"DUPLICATO","Tavolo "&amp;SUMPRODUCT((Tavoli!$E$2:$AB$41=AD142)*Tavoli!$A$2:$A$41))))</f>
        <v/>
      </c>
    </row>
    <row r="143">
      <c r="A143" s="7" t="n"/>
      <c r="B143" s="7" t="n"/>
      <c r="C143" s="7" t="n"/>
      <c r="D143" s="7" t="n"/>
      <c r="E143" s="7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7" t="n"/>
      <c r="AC143" s="7" t="n"/>
      <c r="AD143" s="9">
        <f>IF(OR(A143&lt;&gt;"",B143&lt;&gt;""),TRIM(A143&amp;" "&amp;B143),"")</f>
        <v/>
      </c>
      <c r="AE143" s="9">
        <f>IF(AD143="","",IF(COUNTIF(Tavoli!$E$2:$AB$41,AD143)=0,"Da assegnare",IF(COUNTIF(Tavoli!$E$2:$AB$41,AD143)&gt;1,"DUPLICATO","Tavolo "&amp;SUMPRODUCT((Tavoli!$E$2:$AB$41=AD143)*Tavoli!$A$2:$A$41))))</f>
        <v/>
      </c>
    </row>
    <row r="144">
      <c r="A144" s="7" t="n"/>
      <c r="B144" s="7" t="n"/>
      <c r="C144" s="7" t="n"/>
      <c r="D144" s="7" t="n"/>
      <c r="E144" s="7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7" t="n"/>
      <c r="AC144" s="7" t="n"/>
      <c r="AD144" s="9">
        <f>IF(OR(A144&lt;&gt;"",B144&lt;&gt;""),TRIM(A144&amp;" "&amp;B144),"")</f>
        <v/>
      </c>
      <c r="AE144" s="9">
        <f>IF(AD144="","",IF(COUNTIF(Tavoli!$E$2:$AB$41,AD144)=0,"Da assegnare",IF(COUNTIF(Tavoli!$E$2:$AB$41,AD144)&gt;1,"DUPLICATO","Tavolo "&amp;SUMPRODUCT((Tavoli!$E$2:$AB$41=AD144)*Tavoli!$A$2:$A$41))))</f>
        <v/>
      </c>
    </row>
    <row r="145">
      <c r="A145" s="7" t="n"/>
      <c r="B145" s="7" t="n"/>
      <c r="C145" s="7" t="n"/>
      <c r="D145" s="7" t="n"/>
      <c r="E145" s="7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7" t="n"/>
      <c r="AC145" s="7" t="n"/>
      <c r="AD145" s="9">
        <f>IF(OR(A145&lt;&gt;"",B145&lt;&gt;""),TRIM(A145&amp;" "&amp;B145),"")</f>
        <v/>
      </c>
      <c r="AE145" s="9">
        <f>IF(AD145="","",IF(COUNTIF(Tavoli!$E$2:$AB$41,AD145)=0,"Da assegnare",IF(COUNTIF(Tavoli!$E$2:$AB$41,AD145)&gt;1,"DUPLICATO","Tavolo "&amp;SUMPRODUCT((Tavoli!$E$2:$AB$41=AD145)*Tavoli!$A$2:$A$41))))</f>
        <v/>
      </c>
    </row>
    <row r="146">
      <c r="A146" s="7" t="n"/>
      <c r="B146" s="7" t="n"/>
      <c r="C146" s="7" t="n"/>
      <c r="D146" s="7" t="n"/>
      <c r="E146" s="7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7" t="n"/>
      <c r="AC146" s="7" t="n"/>
      <c r="AD146" s="9">
        <f>IF(OR(A146&lt;&gt;"",B146&lt;&gt;""),TRIM(A146&amp;" "&amp;B146),"")</f>
        <v/>
      </c>
      <c r="AE146" s="9">
        <f>IF(AD146="","",IF(COUNTIF(Tavoli!$E$2:$AB$41,AD146)=0,"Da assegnare",IF(COUNTIF(Tavoli!$E$2:$AB$41,AD146)&gt;1,"DUPLICATO","Tavolo "&amp;SUMPRODUCT((Tavoli!$E$2:$AB$41=AD146)*Tavoli!$A$2:$A$41))))</f>
        <v/>
      </c>
    </row>
    <row r="147">
      <c r="A147" s="7" t="n"/>
      <c r="B147" s="7" t="n"/>
      <c r="C147" s="7" t="n"/>
      <c r="D147" s="7" t="n"/>
      <c r="E147" s="7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7" t="n"/>
      <c r="AC147" s="7" t="n"/>
      <c r="AD147" s="9">
        <f>IF(OR(A147&lt;&gt;"",B147&lt;&gt;""),TRIM(A147&amp;" "&amp;B147),"")</f>
        <v/>
      </c>
      <c r="AE147" s="9">
        <f>IF(AD147="","",IF(COUNTIF(Tavoli!$E$2:$AB$41,AD147)=0,"Da assegnare",IF(COUNTIF(Tavoli!$E$2:$AB$41,AD147)&gt;1,"DUPLICATO","Tavolo "&amp;SUMPRODUCT((Tavoli!$E$2:$AB$41=AD147)*Tavoli!$A$2:$A$41))))</f>
        <v/>
      </c>
    </row>
    <row r="148">
      <c r="A148" s="7" t="n"/>
      <c r="B148" s="7" t="n"/>
      <c r="C148" s="7" t="n"/>
      <c r="D148" s="7" t="n"/>
      <c r="E148" s="7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7" t="n"/>
      <c r="AC148" s="7" t="n"/>
      <c r="AD148" s="9">
        <f>IF(OR(A148&lt;&gt;"",B148&lt;&gt;""),TRIM(A148&amp;" "&amp;B148),"")</f>
        <v/>
      </c>
      <c r="AE148" s="9">
        <f>IF(AD148="","",IF(COUNTIF(Tavoli!$E$2:$AB$41,AD148)=0,"Da assegnare",IF(COUNTIF(Tavoli!$E$2:$AB$41,AD148)&gt;1,"DUPLICATO","Tavolo "&amp;SUMPRODUCT((Tavoli!$E$2:$AB$41=AD148)*Tavoli!$A$2:$A$41))))</f>
        <v/>
      </c>
    </row>
    <row r="149">
      <c r="A149" s="7" t="n"/>
      <c r="B149" s="7" t="n"/>
      <c r="C149" s="7" t="n"/>
      <c r="D149" s="7" t="n"/>
      <c r="E149" s="7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7" t="n"/>
      <c r="AC149" s="7" t="n"/>
      <c r="AD149" s="9">
        <f>IF(OR(A149&lt;&gt;"",B149&lt;&gt;""),TRIM(A149&amp;" "&amp;B149),"")</f>
        <v/>
      </c>
      <c r="AE149" s="9">
        <f>IF(AD149="","",IF(COUNTIF(Tavoli!$E$2:$AB$41,AD149)=0,"Da assegnare",IF(COUNTIF(Tavoli!$E$2:$AB$41,AD149)&gt;1,"DUPLICATO","Tavolo "&amp;SUMPRODUCT((Tavoli!$E$2:$AB$41=AD149)*Tavoli!$A$2:$A$41))))</f>
        <v/>
      </c>
    </row>
    <row r="150">
      <c r="A150" s="7" t="n"/>
      <c r="B150" s="7" t="n"/>
      <c r="C150" s="7" t="n"/>
      <c r="D150" s="7" t="n"/>
      <c r="E150" s="7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7" t="n"/>
      <c r="AC150" s="7" t="n"/>
      <c r="AD150" s="9">
        <f>IF(OR(A150&lt;&gt;"",B150&lt;&gt;""),TRIM(A150&amp;" "&amp;B150),"")</f>
        <v/>
      </c>
      <c r="AE150" s="9">
        <f>IF(AD150="","",IF(COUNTIF(Tavoli!$E$2:$AB$41,AD150)=0,"Da assegnare",IF(COUNTIF(Tavoli!$E$2:$AB$41,AD150)&gt;1,"DUPLICATO","Tavolo "&amp;SUMPRODUCT((Tavoli!$E$2:$AB$41=AD150)*Tavoli!$A$2:$A$41))))</f>
        <v/>
      </c>
    </row>
    <row r="151">
      <c r="A151" s="7" t="n"/>
      <c r="B151" s="7" t="n"/>
      <c r="C151" s="7" t="n"/>
      <c r="D151" s="7" t="n"/>
      <c r="E151" s="7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7" t="n"/>
      <c r="AC151" s="7" t="n"/>
      <c r="AD151" s="9">
        <f>IF(OR(A151&lt;&gt;"",B151&lt;&gt;""),TRIM(A151&amp;" "&amp;B151),"")</f>
        <v/>
      </c>
      <c r="AE151" s="9">
        <f>IF(AD151="","",IF(COUNTIF(Tavoli!$E$2:$AB$41,AD151)=0,"Da assegnare",IF(COUNTIF(Tavoli!$E$2:$AB$41,AD151)&gt;1,"DUPLICATO","Tavolo "&amp;SUMPRODUCT((Tavoli!$E$2:$AB$41=AD151)*Tavoli!$A$2:$A$41))))</f>
        <v/>
      </c>
    </row>
    <row r="152">
      <c r="A152" s="7" t="n"/>
      <c r="B152" s="7" t="n"/>
      <c r="C152" s="7" t="n"/>
      <c r="D152" s="7" t="n"/>
      <c r="E152" s="7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7" t="n"/>
      <c r="AC152" s="7" t="n"/>
      <c r="AD152" s="9">
        <f>IF(OR(A152&lt;&gt;"",B152&lt;&gt;""),TRIM(A152&amp;" "&amp;B152),"")</f>
        <v/>
      </c>
      <c r="AE152" s="9">
        <f>IF(AD152="","",IF(COUNTIF(Tavoli!$E$2:$AB$41,AD152)=0,"Da assegnare",IF(COUNTIF(Tavoli!$E$2:$AB$41,AD152)&gt;1,"DUPLICATO","Tavolo "&amp;SUMPRODUCT((Tavoli!$E$2:$AB$41=AD152)*Tavoli!$A$2:$A$41))))</f>
        <v/>
      </c>
    </row>
    <row r="153">
      <c r="A153" s="7" t="n"/>
      <c r="B153" s="7" t="n"/>
      <c r="C153" s="7" t="n"/>
      <c r="D153" s="7" t="n"/>
      <c r="E153" s="7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7" t="n"/>
      <c r="AC153" s="7" t="n"/>
      <c r="AD153" s="9">
        <f>IF(OR(A153&lt;&gt;"",B153&lt;&gt;""),TRIM(A153&amp;" "&amp;B153),"")</f>
        <v/>
      </c>
      <c r="AE153" s="9">
        <f>IF(AD153="","",IF(COUNTIF(Tavoli!$E$2:$AB$41,AD153)=0,"Da assegnare",IF(COUNTIF(Tavoli!$E$2:$AB$41,AD153)&gt;1,"DUPLICATO","Tavolo "&amp;SUMPRODUCT((Tavoli!$E$2:$AB$41=AD153)*Tavoli!$A$2:$A$41))))</f>
        <v/>
      </c>
    </row>
    <row r="154">
      <c r="A154" s="7" t="n"/>
      <c r="B154" s="7" t="n"/>
      <c r="C154" s="7" t="n"/>
      <c r="D154" s="7" t="n"/>
      <c r="E154" s="7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7" t="n"/>
      <c r="AC154" s="7" t="n"/>
      <c r="AD154" s="9">
        <f>IF(OR(A154&lt;&gt;"",B154&lt;&gt;""),TRIM(A154&amp;" "&amp;B154),"")</f>
        <v/>
      </c>
      <c r="AE154" s="9">
        <f>IF(AD154="","",IF(COUNTIF(Tavoli!$E$2:$AB$41,AD154)=0,"Da assegnare",IF(COUNTIF(Tavoli!$E$2:$AB$41,AD154)&gt;1,"DUPLICATO","Tavolo "&amp;SUMPRODUCT((Tavoli!$E$2:$AB$41=AD154)*Tavoli!$A$2:$A$41))))</f>
        <v/>
      </c>
    </row>
    <row r="155">
      <c r="A155" s="7" t="n"/>
      <c r="B155" s="7" t="n"/>
      <c r="C155" s="7" t="n"/>
      <c r="D155" s="7" t="n"/>
      <c r="E155" s="7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7" t="n"/>
      <c r="AC155" s="7" t="n"/>
      <c r="AD155" s="9">
        <f>IF(OR(A155&lt;&gt;"",B155&lt;&gt;""),TRIM(A155&amp;" "&amp;B155),"")</f>
        <v/>
      </c>
      <c r="AE155" s="9">
        <f>IF(AD155="","",IF(COUNTIF(Tavoli!$E$2:$AB$41,AD155)=0,"Da assegnare",IF(COUNTIF(Tavoli!$E$2:$AB$41,AD155)&gt;1,"DUPLICATO","Tavolo "&amp;SUMPRODUCT((Tavoli!$E$2:$AB$41=AD155)*Tavoli!$A$2:$A$41))))</f>
        <v/>
      </c>
    </row>
    <row r="156">
      <c r="A156" s="7" t="n"/>
      <c r="B156" s="7" t="n"/>
      <c r="C156" s="7" t="n"/>
      <c r="D156" s="7" t="n"/>
      <c r="E156" s="7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7" t="n"/>
      <c r="AC156" s="7" t="n"/>
      <c r="AD156" s="9">
        <f>IF(OR(A156&lt;&gt;"",B156&lt;&gt;""),TRIM(A156&amp;" "&amp;B156),"")</f>
        <v/>
      </c>
      <c r="AE156" s="9">
        <f>IF(AD156="","",IF(COUNTIF(Tavoli!$E$2:$AB$41,AD156)=0,"Da assegnare",IF(COUNTIF(Tavoli!$E$2:$AB$41,AD156)&gt;1,"DUPLICATO","Tavolo "&amp;SUMPRODUCT((Tavoli!$E$2:$AB$41=AD156)*Tavoli!$A$2:$A$41))))</f>
        <v/>
      </c>
    </row>
    <row r="157">
      <c r="A157" s="7" t="n"/>
      <c r="B157" s="7" t="n"/>
      <c r="C157" s="7" t="n"/>
      <c r="D157" s="7" t="n"/>
      <c r="E157" s="7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7" t="n"/>
      <c r="AC157" s="7" t="n"/>
      <c r="AD157" s="9">
        <f>IF(OR(A157&lt;&gt;"",B157&lt;&gt;""),TRIM(A157&amp;" "&amp;B157),"")</f>
        <v/>
      </c>
      <c r="AE157" s="9">
        <f>IF(AD157="","",IF(COUNTIF(Tavoli!$E$2:$AB$41,AD157)=0,"Da assegnare",IF(COUNTIF(Tavoli!$E$2:$AB$41,AD157)&gt;1,"DUPLICATO","Tavolo "&amp;SUMPRODUCT((Tavoli!$E$2:$AB$41=AD157)*Tavoli!$A$2:$A$41))))</f>
        <v/>
      </c>
    </row>
    <row r="158">
      <c r="A158" s="7" t="n"/>
      <c r="B158" s="7" t="n"/>
      <c r="C158" s="7" t="n"/>
      <c r="D158" s="7" t="n"/>
      <c r="E158" s="7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7" t="n"/>
      <c r="AC158" s="7" t="n"/>
      <c r="AD158" s="9">
        <f>IF(OR(A158&lt;&gt;"",B158&lt;&gt;""),TRIM(A158&amp;" "&amp;B158),"")</f>
        <v/>
      </c>
      <c r="AE158" s="9">
        <f>IF(AD158="","",IF(COUNTIF(Tavoli!$E$2:$AB$41,AD158)=0,"Da assegnare",IF(COUNTIF(Tavoli!$E$2:$AB$41,AD158)&gt;1,"DUPLICATO","Tavolo "&amp;SUMPRODUCT((Tavoli!$E$2:$AB$41=AD158)*Tavoli!$A$2:$A$41))))</f>
        <v/>
      </c>
    </row>
    <row r="159">
      <c r="A159" s="7" t="n"/>
      <c r="B159" s="7" t="n"/>
      <c r="C159" s="7" t="n"/>
      <c r="D159" s="7" t="n"/>
      <c r="E159" s="7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7" t="n"/>
      <c r="AC159" s="7" t="n"/>
      <c r="AD159" s="9">
        <f>IF(OR(A159&lt;&gt;"",B159&lt;&gt;""),TRIM(A159&amp;" "&amp;B159),"")</f>
        <v/>
      </c>
      <c r="AE159" s="9">
        <f>IF(AD159="","",IF(COUNTIF(Tavoli!$E$2:$AB$41,AD159)=0,"Da assegnare",IF(COUNTIF(Tavoli!$E$2:$AB$41,AD159)&gt;1,"DUPLICATO","Tavolo "&amp;SUMPRODUCT((Tavoli!$E$2:$AB$41=AD159)*Tavoli!$A$2:$A$41))))</f>
        <v/>
      </c>
    </row>
    <row r="160">
      <c r="A160" s="7" t="n"/>
      <c r="B160" s="7" t="n"/>
      <c r="C160" s="7" t="n"/>
      <c r="D160" s="7" t="n"/>
      <c r="E160" s="7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7" t="n"/>
      <c r="AC160" s="7" t="n"/>
      <c r="AD160" s="9">
        <f>IF(OR(A160&lt;&gt;"",B160&lt;&gt;""),TRIM(A160&amp;" "&amp;B160),"")</f>
        <v/>
      </c>
      <c r="AE160" s="9">
        <f>IF(AD160="","",IF(COUNTIF(Tavoli!$E$2:$AB$41,AD160)=0,"Da assegnare",IF(COUNTIF(Tavoli!$E$2:$AB$41,AD160)&gt;1,"DUPLICATO","Tavolo "&amp;SUMPRODUCT((Tavoli!$E$2:$AB$41=AD160)*Tavoli!$A$2:$A$41))))</f>
        <v/>
      </c>
    </row>
    <row r="161">
      <c r="A161" s="7" t="n"/>
      <c r="B161" s="7" t="n"/>
      <c r="C161" s="7" t="n"/>
      <c r="D161" s="7" t="n"/>
      <c r="E161" s="7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7" t="n"/>
      <c r="AC161" s="7" t="n"/>
      <c r="AD161" s="9">
        <f>IF(OR(A161&lt;&gt;"",B161&lt;&gt;""),TRIM(A161&amp;" "&amp;B161),"")</f>
        <v/>
      </c>
      <c r="AE161" s="9">
        <f>IF(AD161="","",IF(COUNTIF(Tavoli!$E$2:$AB$41,AD161)=0,"Da assegnare",IF(COUNTIF(Tavoli!$E$2:$AB$41,AD161)&gt;1,"DUPLICATO","Tavolo "&amp;SUMPRODUCT((Tavoli!$E$2:$AB$41=AD161)*Tavoli!$A$2:$A$41))))</f>
        <v/>
      </c>
    </row>
    <row r="162">
      <c r="A162" s="7" t="n"/>
      <c r="B162" s="7" t="n"/>
      <c r="C162" s="7" t="n"/>
      <c r="D162" s="7" t="n"/>
      <c r="E162" s="7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7" t="n"/>
      <c r="AC162" s="7" t="n"/>
      <c r="AD162" s="9">
        <f>IF(OR(A162&lt;&gt;"",B162&lt;&gt;""),TRIM(A162&amp;" "&amp;B162),"")</f>
        <v/>
      </c>
      <c r="AE162" s="9">
        <f>IF(AD162="","",IF(COUNTIF(Tavoli!$E$2:$AB$41,AD162)=0,"Da assegnare",IF(COUNTIF(Tavoli!$E$2:$AB$41,AD162)&gt;1,"DUPLICATO","Tavolo "&amp;SUMPRODUCT((Tavoli!$E$2:$AB$41=AD162)*Tavoli!$A$2:$A$41))))</f>
        <v/>
      </c>
    </row>
    <row r="163">
      <c r="A163" s="7" t="n"/>
      <c r="B163" s="7" t="n"/>
      <c r="C163" s="7" t="n"/>
      <c r="D163" s="7" t="n"/>
      <c r="E163" s="7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7" t="n"/>
      <c r="AC163" s="7" t="n"/>
      <c r="AD163" s="9">
        <f>IF(OR(A163&lt;&gt;"",B163&lt;&gt;""),TRIM(A163&amp;" "&amp;B163),"")</f>
        <v/>
      </c>
      <c r="AE163" s="9">
        <f>IF(AD163="","",IF(COUNTIF(Tavoli!$E$2:$AB$41,AD163)=0,"Da assegnare",IF(COUNTIF(Tavoli!$E$2:$AB$41,AD163)&gt;1,"DUPLICATO","Tavolo "&amp;SUMPRODUCT((Tavoli!$E$2:$AB$41=AD163)*Tavoli!$A$2:$A$41))))</f>
        <v/>
      </c>
    </row>
    <row r="164">
      <c r="A164" s="7" t="n"/>
      <c r="B164" s="7" t="n"/>
      <c r="C164" s="7" t="n"/>
      <c r="D164" s="7" t="n"/>
      <c r="E164" s="7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7" t="n"/>
      <c r="AC164" s="7" t="n"/>
      <c r="AD164" s="9">
        <f>IF(OR(A164&lt;&gt;"",B164&lt;&gt;""),TRIM(A164&amp;" "&amp;B164),"")</f>
        <v/>
      </c>
      <c r="AE164" s="9">
        <f>IF(AD164="","",IF(COUNTIF(Tavoli!$E$2:$AB$41,AD164)=0,"Da assegnare",IF(COUNTIF(Tavoli!$E$2:$AB$41,AD164)&gt;1,"DUPLICATO","Tavolo "&amp;SUMPRODUCT((Tavoli!$E$2:$AB$41=AD164)*Tavoli!$A$2:$A$41))))</f>
        <v/>
      </c>
    </row>
    <row r="165">
      <c r="A165" s="7" t="n"/>
      <c r="B165" s="7" t="n"/>
      <c r="C165" s="7" t="n"/>
      <c r="D165" s="7" t="n"/>
      <c r="E165" s="7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7" t="n"/>
      <c r="AC165" s="7" t="n"/>
      <c r="AD165" s="9">
        <f>IF(OR(A165&lt;&gt;"",B165&lt;&gt;""),TRIM(A165&amp;" "&amp;B165),"")</f>
        <v/>
      </c>
      <c r="AE165" s="9">
        <f>IF(AD165="","",IF(COUNTIF(Tavoli!$E$2:$AB$41,AD165)=0,"Da assegnare",IF(COUNTIF(Tavoli!$E$2:$AB$41,AD165)&gt;1,"DUPLICATO","Tavolo "&amp;SUMPRODUCT((Tavoli!$E$2:$AB$41=AD165)*Tavoli!$A$2:$A$41))))</f>
        <v/>
      </c>
    </row>
    <row r="166">
      <c r="A166" s="7" t="n"/>
      <c r="B166" s="7" t="n"/>
      <c r="C166" s="7" t="n"/>
      <c r="D166" s="7" t="n"/>
      <c r="E166" s="7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7" t="n"/>
      <c r="AC166" s="7" t="n"/>
      <c r="AD166" s="9">
        <f>IF(OR(A166&lt;&gt;"",B166&lt;&gt;""),TRIM(A166&amp;" "&amp;B166),"")</f>
        <v/>
      </c>
      <c r="AE166" s="9">
        <f>IF(AD166="","",IF(COUNTIF(Tavoli!$E$2:$AB$41,AD166)=0,"Da assegnare",IF(COUNTIF(Tavoli!$E$2:$AB$41,AD166)&gt;1,"DUPLICATO","Tavolo "&amp;SUMPRODUCT((Tavoli!$E$2:$AB$41=AD166)*Tavoli!$A$2:$A$41))))</f>
        <v/>
      </c>
    </row>
    <row r="167">
      <c r="A167" s="7" t="n"/>
      <c r="B167" s="7" t="n"/>
      <c r="C167" s="7" t="n"/>
      <c r="D167" s="7" t="n"/>
      <c r="E167" s="7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7" t="n"/>
      <c r="AC167" s="7" t="n"/>
      <c r="AD167" s="9">
        <f>IF(OR(A167&lt;&gt;"",B167&lt;&gt;""),TRIM(A167&amp;" "&amp;B167),"")</f>
        <v/>
      </c>
      <c r="AE167" s="9">
        <f>IF(AD167="","",IF(COUNTIF(Tavoli!$E$2:$AB$41,AD167)=0,"Da assegnare",IF(COUNTIF(Tavoli!$E$2:$AB$41,AD167)&gt;1,"DUPLICATO","Tavolo "&amp;SUMPRODUCT((Tavoli!$E$2:$AB$41=AD167)*Tavoli!$A$2:$A$41))))</f>
        <v/>
      </c>
    </row>
    <row r="168">
      <c r="A168" s="7" t="n"/>
      <c r="B168" s="7" t="n"/>
      <c r="C168" s="7" t="n"/>
      <c r="D168" s="7" t="n"/>
      <c r="E168" s="7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7" t="n"/>
      <c r="AC168" s="7" t="n"/>
      <c r="AD168" s="9">
        <f>IF(OR(A168&lt;&gt;"",B168&lt;&gt;""),TRIM(A168&amp;" "&amp;B168),"")</f>
        <v/>
      </c>
      <c r="AE168" s="9">
        <f>IF(AD168="","",IF(COUNTIF(Tavoli!$E$2:$AB$41,AD168)=0,"Da assegnare",IF(COUNTIF(Tavoli!$E$2:$AB$41,AD168)&gt;1,"DUPLICATO","Tavolo "&amp;SUMPRODUCT((Tavoli!$E$2:$AB$41=AD168)*Tavoli!$A$2:$A$41))))</f>
        <v/>
      </c>
    </row>
    <row r="169">
      <c r="A169" s="7" t="n"/>
      <c r="B169" s="7" t="n"/>
      <c r="C169" s="7" t="n"/>
      <c r="D169" s="7" t="n"/>
      <c r="E169" s="7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7" t="n"/>
      <c r="AC169" s="7" t="n"/>
      <c r="AD169" s="9">
        <f>IF(OR(A169&lt;&gt;"",B169&lt;&gt;""),TRIM(A169&amp;" "&amp;B169),"")</f>
        <v/>
      </c>
      <c r="AE169" s="9">
        <f>IF(AD169="","",IF(COUNTIF(Tavoli!$E$2:$AB$41,AD169)=0,"Da assegnare",IF(COUNTIF(Tavoli!$E$2:$AB$41,AD169)&gt;1,"DUPLICATO","Tavolo "&amp;SUMPRODUCT((Tavoli!$E$2:$AB$41=AD169)*Tavoli!$A$2:$A$41))))</f>
        <v/>
      </c>
    </row>
    <row r="170">
      <c r="A170" s="7" t="n"/>
      <c r="B170" s="7" t="n"/>
      <c r="C170" s="7" t="n"/>
      <c r="D170" s="7" t="n"/>
      <c r="E170" s="7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7" t="n"/>
      <c r="AC170" s="7" t="n"/>
      <c r="AD170" s="9">
        <f>IF(OR(A170&lt;&gt;"",B170&lt;&gt;""),TRIM(A170&amp;" "&amp;B170),"")</f>
        <v/>
      </c>
      <c r="AE170" s="9">
        <f>IF(AD170="","",IF(COUNTIF(Tavoli!$E$2:$AB$41,AD170)=0,"Da assegnare",IF(COUNTIF(Tavoli!$E$2:$AB$41,AD170)&gt;1,"DUPLICATO","Tavolo "&amp;SUMPRODUCT((Tavoli!$E$2:$AB$41=AD170)*Tavoli!$A$2:$A$41))))</f>
        <v/>
      </c>
    </row>
    <row r="171">
      <c r="A171" s="7" t="n"/>
      <c r="B171" s="7" t="n"/>
      <c r="C171" s="7" t="n"/>
      <c r="D171" s="7" t="n"/>
      <c r="E171" s="7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7" t="n"/>
      <c r="AC171" s="7" t="n"/>
      <c r="AD171" s="9">
        <f>IF(OR(A171&lt;&gt;"",B171&lt;&gt;""),TRIM(A171&amp;" "&amp;B171),"")</f>
        <v/>
      </c>
      <c r="AE171" s="9">
        <f>IF(AD171="","",IF(COUNTIF(Tavoli!$E$2:$AB$41,AD171)=0,"Da assegnare",IF(COUNTIF(Tavoli!$E$2:$AB$41,AD171)&gt;1,"DUPLICATO","Tavolo "&amp;SUMPRODUCT((Tavoli!$E$2:$AB$41=AD171)*Tavoli!$A$2:$A$41))))</f>
        <v/>
      </c>
    </row>
    <row r="172">
      <c r="A172" s="7" t="n"/>
      <c r="B172" s="7" t="n"/>
      <c r="C172" s="7" t="n"/>
      <c r="D172" s="7" t="n"/>
      <c r="E172" s="7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7" t="n"/>
      <c r="AC172" s="7" t="n"/>
      <c r="AD172" s="9">
        <f>IF(OR(A172&lt;&gt;"",B172&lt;&gt;""),TRIM(A172&amp;" "&amp;B172),"")</f>
        <v/>
      </c>
      <c r="AE172" s="9">
        <f>IF(AD172="","",IF(COUNTIF(Tavoli!$E$2:$AB$41,AD172)=0,"Da assegnare",IF(COUNTIF(Tavoli!$E$2:$AB$41,AD172)&gt;1,"DUPLICATO","Tavolo "&amp;SUMPRODUCT((Tavoli!$E$2:$AB$41=AD172)*Tavoli!$A$2:$A$41))))</f>
        <v/>
      </c>
    </row>
    <row r="173">
      <c r="A173" s="7" t="n"/>
      <c r="B173" s="7" t="n"/>
      <c r="C173" s="7" t="n"/>
      <c r="D173" s="7" t="n"/>
      <c r="E173" s="7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7" t="n"/>
      <c r="AC173" s="7" t="n"/>
      <c r="AD173" s="9">
        <f>IF(OR(A173&lt;&gt;"",B173&lt;&gt;""),TRIM(A173&amp;" "&amp;B173),"")</f>
        <v/>
      </c>
      <c r="AE173" s="9">
        <f>IF(AD173="","",IF(COUNTIF(Tavoli!$E$2:$AB$41,AD173)=0,"Da assegnare",IF(COUNTIF(Tavoli!$E$2:$AB$41,AD173)&gt;1,"DUPLICATO","Tavolo "&amp;SUMPRODUCT((Tavoli!$E$2:$AB$41=AD173)*Tavoli!$A$2:$A$41))))</f>
        <v/>
      </c>
    </row>
    <row r="174">
      <c r="A174" s="7" t="n"/>
      <c r="B174" s="7" t="n"/>
      <c r="C174" s="7" t="n"/>
      <c r="D174" s="7" t="n"/>
      <c r="E174" s="7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7" t="n"/>
      <c r="AC174" s="7" t="n"/>
      <c r="AD174" s="9">
        <f>IF(OR(A174&lt;&gt;"",B174&lt;&gt;""),TRIM(A174&amp;" "&amp;B174),"")</f>
        <v/>
      </c>
      <c r="AE174" s="9">
        <f>IF(AD174="","",IF(COUNTIF(Tavoli!$E$2:$AB$41,AD174)=0,"Da assegnare",IF(COUNTIF(Tavoli!$E$2:$AB$41,AD174)&gt;1,"DUPLICATO","Tavolo "&amp;SUMPRODUCT((Tavoli!$E$2:$AB$41=AD174)*Tavoli!$A$2:$A$41))))</f>
        <v/>
      </c>
    </row>
    <row r="175">
      <c r="A175" s="7" t="n"/>
      <c r="B175" s="7" t="n"/>
      <c r="C175" s="7" t="n"/>
      <c r="D175" s="7" t="n"/>
      <c r="E175" s="7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7" t="n"/>
      <c r="AC175" s="7" t="n"/>
      <c r="AD175" s="9">
        <f>IF(OR(A175&lt;&gt;"",B175&lt;&gt;""),TRIM(A175&amp;" "&amp;B175),"")</f>
        <v/>
      </c>
      <c r="AE175" s="9">
        <f>IF(AD175="","",IF(COUNTIF(Tavoli!$E$2:$AB$41,AD175)=0,"Da assegnare",IF(COUNTIF(Tavoli!$E$2:$AB$41,AD175)&gt;1,"DUPLICATO","Tavolo "&amp;SUMPRODUCT((Tavoli!$E$2:$AB$41=AD175)*Tavoli!$A$2:$A$41))))</f>
        <v/>
      </c>
    </row>
    <row r="176">
      <c r="A176" s="7" t="n"/>
      <c r="B176" s="7" t="n"/>
      <c r="C176" s="7" t="n"/>
      <c r="D176" s="7" t="n"/>
      <c r="E176" s="7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7" t="n"/>
      <c r="AC176" s="7" t="n"/>
      <c r="AD176" s="9">
        <f>IF(OR(A176&lt;&gt;"",B176&lt;&gt;""),TRIM(A176&amp;" "&amp;B176),"")</f>
        <v/>
      </c>
      <c r="AE176" s="9">
        <f>IF(AD176="","",IF(COUNTIF(Tavoli!$E$2:$AB$41,AD176)=0,"Da assegnare",IF(COUNTIF(Tavoli!$E$2:$AB$41,AD176)&gt;1,"DUPLICATO","Tavolo "&amp;SUMPRODUCT((Tavoli!$E$2:$AB$41=AD176)*Tavoli!$A$2:$A$41))))</f>
        <v/>
      </c>
    </row>
    <row r="177">
      <c r="A177" s="7" t="n"/>
      <c r="B177" s="7" t="n"/>
      <c r="C177" s="7" t="n"/>
      <c r="D177" s="7" t="n"/>
      <c r="E177" s="7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7" t="n"/>
      <c r="AC177" s="7" t="n"/>
      <c r="AD177" s="9">
        <f>IF(OR(A177&lt;&gt;"",B177&lt;&gt;""),TRIM(A177&amp;" "&amp;B177),"")</f>
        <v/>
      </c>
      <c r="AE177" s="9">
        <f>IF(AD177="","",IF(COUNTIF(Tavoli!$E$2:$AB$41,AD177)=0,"Da assegnare",IF(COUNTIF(Tavoli!$E$2:$AB$41,AD177)&gt;1,"DUPLICATO","Tavolo "&amp;SUMPRODUCT((Tavoli!$E$2:$AB$41=AD177)*Tavoli!$A$2:$A$41))))</f>
        <v/>
      </c>
    </row>
    <row r="178">
      <c r="A178" s="7" t="n"/>
      <c r="B178" s="7" t="n"/>
      <c r="C178" s="7" t="n"/>
      <c r="D178" s="7" t="n"/>
      <c r="E178" s="7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7" t="n"/>
      <c r="AC178" s="7" t="n"/>
      <c r="AD178" s="9">
        <f>IF(OR(A178&lt;&gt;"",B178&lt;&gt;""),TRIM(A178&amp;" "&amp;B178),"")</f>
        <v/>
      </c>
      <c r="AE178" s="9">
        <f>IF(AD178="","",IF(COUNTIF(Tavoli!$E$2:$AB$41,AD178)=0,"Da assegnare",IF(COUNTIF(Tavoli!$E$2:$AB$41,AD178)&gt;1,"DUPLICATO","Tavolo "&amp;SUMPRODUCT((Tavoli!$E$2:$AB$41=AD178)*Tavoli!$A$2:$A$41))))</f>
        <v/>
      </c>
    </row>
    <row r="179">
      <c r="A179" s="7" t="n"/>
      <c r="B179" s="7" t="n"/>
      <c r="C179" s="7" t="n"/>
      <c r="D179" s="7" t="n"/>
      <c r="E179" s="7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7" t="n"/>
      <c r="AC179" s="7" t="n"/>
      <c r="AD179" s="9">
        <f>IF(OR(A179&lt;&gt;"",B179&lt;&gt;""),TRIM(A179&amp;" "&amp;B179),"")</f>
        <v/>
      </c>
      <c r="AE179" s="9">
        <f>IF(AD179="","",IF(COUNTIF(Tavoli!$E$2:$AB$41,AD179)=0,"Da assegnare",IF(COUNTIF(Tavoli!$E$2:$AB$41,AD179)&gt;1,"DUPLICATO","Tavolo "&amp;SUMPRODUCT((Tavoli!$E$2:$AB$41=AD179)*Tavoli!$A$2:$A$41))))</f>
        <v/>
      </c>
    </row>
    <row r="180">
      <c r="A180" s="7" t="n"/>
      <c r="B180" s="7" t="n"/>
      <c r="C180" s="7" t="n"/>
      <c r="D180" s="7" t="n"/>
      <c r="E180" s="7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7" t="n"/>
      <c r="AC180" s="7" t="n"/>
      <c r="AD180" s="9">
        <f>IF(OR(A180&lt;&gt;"",B180&lt;&gt;""),TRIM(A180&amp;" "&amp;B180),"")</f>
        <v/>
      </c>
      <c r="AE180" s="9">
        <f>IF(AD180="","",IF(COUNTIF(Tavoli!$E$2:$AB$41,AD180)=0,"Da assegnare",IF(COUNTIF(Tavoli!$E$2:$AB$41,AD180)&gt;1,"DUPLICATO","Tavolo "&amp;SUMPRODUCT((Tavoli!$E$2:$AB$41=AD180)*Tavoli!$A$2:$A$41))))</f>
        <v/>
      </c>
    </row>
    <row r="181">
      <c r="A181" s="7" t="n"/>
      <c r="B181" s="7" t="n"/>
      <c r="C181" s="7" t="n"/>
      <c r="D181" s="7" t="n"/>
      <c r="E181" s="7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7" t="n"/>
      <c r="AC181" s="7" t="n"/>
      <c r="AD181" s="9">
        <f>IF(OR(A181&lt;&gt;"",B181&lt;&gt;""),TRIM(A181&amp;" "&amp;B181),"")</f>
        <v/>
      </c>
      <c r="AE181" s="9">
        <f>IF(AD181="","",IF(COUNTIF(Tavoli!$E$2:$AB$41,AD181)=0,"Da assegnare",IF(COUNTIF(Tavoli!$E$2:$AB$41,AD181)&gt;1,"DUPLICATO","Tavolo "&amp;SUMPRODUCT((Tavoli!$E$2:$AB$41=AD181)*Tavoli!$A$2:$A$41))))</f>
        <v/>
      </c>
    </row>
    <row r="182">
      <c r="A182" s="7" t="n"/>
      <c r="B182" s="7" t="n"/>
      <c r="C182" s="7" t="n"/>
      <c r="D182" s="7" t="n"/>
      <c r="E182" s="7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7" t="n"/>
      <c r="AC182" s="7" t="n"/>
      <c r="AD182" s="9">
        <f>IF(OR(A182&lt;&gt;"",B182&lt;&gt;""),TRIM(A182&amp;" "&amp;B182),"")</f>
        <v/>
      </c>
      <c r="AE182" s="9">
        <f>IF(AD182="","",IF(COUNTIF(Tavoli!$E$2:$AB$41,AD182)=0,"Da assegnare",IF(COUNTIF(Tavoli!$E$2:$AB$41,AD182)&gt;1,"DUPLICATO","Tavolo "&amp;SUMPRODUCT((Tavoli!$E$2:$AB$41=AD182)*Tavoli!$A$2:$A$41))))</f>
        <v/>
      </c>
    </row>
    <row r="183">
      <c r="A183" s="7" t="n"/>
      <c r="B183" s="7" t="n"/>
      <c r="C183" s="7" t="n"/>
      <c r="D183" s="7" t="n"/>
      <c r="E183" s="7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7" t="n"/>
      <c r="AC183" s="7" t="n"/>
      <c r="AD183" s="9">
        <f>IF(OR(A183&lt;&gt;"",B183&lt;&gt;""),TRIM(A183&amp;" "&amp;B183),"")</f>
        <v/>
      </c>
      <c r="AE183" s="9">
        <f>IF(AD183="","",IF(COUNTIF(Tavoli!$E$2:$AB$41,AD183)=0,"Da assegnare",IF(COUNTIF(Tavoli!$E$2:$AB$41,AD183)&gt;1,"DUPLICATO","Tavolo "&amp;SUMPRODUCT((Tavoli!$E$2:$AB$41=AD183)*Tavoli!$A$2:$A$41))))</f>
        <v/>
      </c>
    </row>
    <row r="184">
      <c r="A184" s="7" t="n"/>
      <c r="B184" s="7" t="n"/>
      <c r="C184" s="7" t="n"/>
      <c r="D184" s="7" t="n"/>
      <c r="E184" s="7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7" t="n"/>
      <c r="AC184" s="7" t="n"/>
      <c r="AD184" s="9">
        <f>IF(OR(A184&lt;&gt;"",B184&lt;&gt;""),TRIM(A184&amp;" "&amp;B184),"")</f>
        <v/>
      </c>
      <c r="AE184" s="9">
        <f>IF(AD184="","",IF(COUNTIF(Tavoli!$E$2:$AB$41,AD184)=0,"Da assegnare",IF(COUNTIF(Tavoli!$E$2:$AB$41,AD184)&gt;1,"DUPLICATO","Tavolo "&amp;SUMPRODUCT((Tavoli!$E$2:$AB$41=AD184)*Tavoli!$A$2:$A$41))))</f>
        <v/>
      </c>
    </row>
    <row r="185">
      <c r="A185" s="7" t="n"/>
      <c r="B185" s="7" t="n"/>
      <c r="C185" s="7" t="n"/>
      <c r="D185" s="7" t="n"/>
      <c r="E185" s="7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7" t="n"/>
      <c r="AC185" s="7" t="n"/>
      <c r="AD185" s="9">
        <f>IF(OR(A185&lt;&gt;"",B185&lt;&gt;""),TRIM(A185&amp;" "&amp;B185),"")</f>
        <v/>
      </c>
      <c r="AE185" s="9">
        <f>IF(AD185="","",IF(COUNTIF(Tavoli!$E$2:$AB$41,AD185)=0,"Da assegnare",IF(COUNTIF(Tavoli!$E$2:$AB$41,AD185)&gt;1,"DUPLICATO","Tavolo "&amp;SUMPRODUCT((Tavoli!$E$2:$AB$41=AD185)*Tavoli!$A$2:$A$41))))</f>
        <v/>
      </c>
    </row>
    <row r="186">
      <c r="A186" s="7" t="n"/>
      <c r="B186" s="7" t="n"/>
      <c r="C186" s="7" t="n"/>
      <c r="D186" s="7" t="n"/>
      <c r="E186" s="7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7" t="n"/>
      <c r="AC186" s="7" t="n"/>
      <c r="AD186" s="9">
        <f>IF(OR(A186&lt;&gt;"",B186&lt;&gt;""),TRIM(A186&amp;" "&amp;B186),"")</f>
        <v/>
      </c>
      <c r="AE186" s="9">
        <f>IF(AD186="","",IF(COUNTIF(Tavoli!$E$2:$AB$41,AD186)=0,"Da assegnare",IF(COUNTIF(Tavoli!$E$2:$AB$41,AD186)&gt;1,"DUPLICATO","Tavolo "&amp;SUMPRODUCT((Tavoli!$E$2:$AB$41=AD186)*Tavoli!$A$2:$A$41))))</f>
        <v/>
      </c>
    </row>
    <row r="187">
      <c r="A187" s="7" t="n"/>
      <c r="B187" s="7" t="n"/>
      <c r="C187" s="7" t="n"/>
      <c r="D187" s="7" t="n"/>
      <c r="E187" s="7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7" t="n"/>
      <c r="AC187" s="7" t="n"/>
      <c r="AD187" s="9">
        <f>IF(OR(A187&lt;&gt;"",B187&lt;&gt;""),TRIM(A187&amp;" "&amp;B187),"")</f>
        <v/>
      </c>
      <c r="AE187" s="9">
        <f>IF(AD187="","",IF(COUNTIF(Tavoli!$E$2:$AB$41,AD187)=0,"Da assegnare",IF(COUNTIF(Tavoli!$E$2:$AB$41,AD187)&gt;1,"DUPLICATO","Tavolo "&amp;SUMPRODUCT((Tavoli!$E$2:$AB$41=AD187)*Tavoli!$A$2:$A$41))))</f>
        <v/>
      </c>
    </row>
    <row r="188">
      <c r="A188" s="7" t="n"/>
      <c r="B188" s="7" t="n"/>
      <c r="C188" s="7" t="n"/>
      <c r="D188" s="7" t="n"/>
      <c r="E188" s="7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7" t="n"/>
      <c r="AC188" s="7" t="n"/>
      <c r="AD188" s="9">
        <f>IF(OR(A188&lt;&gt;"",B188&lt;&gt;""),TRIM(A188&amp;" "&amp;B188),"")</f>
        <v/>
      </c>
      <c r="AE188" s="9">
        <f>IF(AD188="","",IF(COUNTIF(Tavoli!$E$2:$AB$41,AD188)=0,"Da assegnare",IF(COUNTIF(Tavoli!$E$2:$AB$41,AD188)&gt;1,"DUPLICATO","Tavolo "&amp;SUMPRODUCT((Tavoli!$E$2:$AB$41=AD188)*Tavoli!$A$2:$A$41))))</f>
        <v/>
      </c>
    </row>
    <row r="189">
      <c r="A189" s="7" t="n"/>
      <c r="B189" s="7" t="n"/>
      <c r="C189" s="7" t="n"/>
      <c r="D189" s="7" t="n"/>
      <c r="E189" s="7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7" t="n"/>
      <c r="AC189" s="7" t="n"/>
      <c r="AD189" s="9">
        <f>IF(OR(A189&lt;&gt;"",B189&lt;&gt;""),TRIM(A189&amp;" "&amp;B189),"")</f>
        <v/>
      </c>
      <c r="AE189" s="9">
        <f>IF(AD189="","",IF(COUNTIF(Tavoli!$E$2:$AB$41,AD189)=0,"Da assegnare",IF(COUNTIF(Tavoli!$E$2:$AB$41,AD189)&gt;1,"DUPLICATO","Tavolo "&amp;SUMPRODUCT((Tavoli!$E$2:$AB$41=AD189)*Tavoli!$A$2:$A$41))))</f>
        <v/>
      </c>
    </row>
    <row r="190">
      <c r="A190" s="7" t="n"/>
      <c r="B190" s="7" t="n"/>
      <c r="C190" s="7" t="n"/>
      <c r="D190" s="7" t="n"/>
      <c r="E190" s="7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7" t="n"/>
      <c r="AC190" s="7" t="n"/>
      <c r="AD190" s="9">
        <f>IF(OR(A190&lt;&gt;"",B190&lt;&gt;""),TRIM(A190&amp;" "&amp;B190),"")</f>
        <v/>
      </c>
      <c r="AE190" s="9">
        <f>IF(AD190="","",IF(COUNTIF(Tavoli!$E$2:$AB$41,AD190)=0,"Da assegnare",IF(COUNTIF(Tavoli!$E$2:$AB$41,AD190)&gt;1,"DUPLICATO","Tavolo "&amp;SUMPRODUCT((Tavoli!$E$2:$AB$41=AD190)*Tavoli!$A$2:$A$41))))</f>
        <v/>
      </c>
    </row>
    <row r="191">
      <c r="A191" s="7" t="n"/>
      <c r="B191" s="7" t="n"/>
      <c r="C191" s="7" t="n"/>
      <c r="D191" s="7" t="n"/>
      <c r="E191" s="7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7" t="n"/>
      <c r="AC191" s="7" t="n"/>
      <c r="AD191" s="9">
        <f>IF(OR(A191&lt;&gt;"",B191&lt;&gt;""),TRIM(A191&amp;" "&amp;B191),"")</f>
        <v/>
      </c>
      <c r="AE191" s="9">
        <f>IF(AD191="","",IF(COUNTIF(Tavoli!$E$2:$AB$41,AD191)=0,"Da assegnare",IF(COUNTIF(Tavoli!$E$2:$AB$41,AD191)&gt;1,"DUPLICATO","Tavolo "&amp;SUMPRODUCT((Tavoli!$E$2:$AB$41=AD191)*Tavoli!$A$2:$A$41))))</f>
        <v/>
      </c>
    </row>
    <row r="192">
      <c r="A192" s="7" t="n"/>
      <c r="B192" s="7" t="n"/>
      <c r="C192" s="7" t="n"/>
      <c r="D192" s="7" t="n"/>
      <c r="E192" s="7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7" t="n"/>
      <c r="AC192" s="7" t="n"/>
      <c r="AD192" s="9">
        <f>IF(OR(A192&lt;&gt;"",B192&lt;&gt;""),TRIM(A192&amp;" "&amp;B192),"")</f>
        <v/>
      </c>
      <c r="AE192" s="9">
        <f>IF(AD192="","",IF(COUNTIF(Tavoli!$E$2:$AB$41,AD192)=0,"Da assegnare",IF(COUNTIF(Tavoli!$E$2:$AB$41,AD192)&gt;1,"DUPLICATO","Tavolo "&amp;SUMPRODUCT((Tavoli!$E$2:$AB$41=AD192)*Tavoli!$A$2:$A$41))))</f>
        <v/>
      </c>
    </row>
    <row r="193">
      <c r="A193" s="7" t="n"/>
      <c r="B193" s="7" t="n"/>
      <c r="C193" s="7" t="n"/>
      <c r="D193" s="7" t="n"/>
      <c r="E193" s="7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7" t="n"/>
      <c r="AC193" s="7" t="n"/>
      <c r="AD193" s="9">
        <f>IF(OR(A193&lt;&gt;"",B193&lt;&gt;""),TRIM(A193&amp;" "&amp;B193),"")</f>
        <v/>
      </c>
      <c r="AE193" s="9">
        <f>IF(AD193="","",IF(COUNTIF(Tavoli!$E$2:$AB$41,AD193)=0,"Da assegnare",IF(COUNTIF(Tavoli!$E$2:$AB$41,AD193)&gt;1,"DUPLICATO","Tavolo "&amp;SUMPRODUCT((Tavoli!$E$2:$AB$41=AD193)*Tavoli!$A$2:$A$41))))</f>
        <v/>
      </c>
    </row>
    <row r="194">
      <c r="A194" s="7" t="n"/>
      <c r="B194" s="7" t="n"/>
      <c r="C194" s="7" t="n"/>
      <c r="D194" s="7" t="n"/>
      <c r="E194" s="7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7" t="n"/>
      <c r="AC194" s="7" t="n"/>
      <c r="AD194" s="9">
        <f>IF(OR(A194&lt;&gt;"",B194&lt;&gt;""),TRIM(A194&amp;" "&amp;B194),"")</f>
        <v/>
      </c>
      <c r="AE194" s="9">
        <f>IF(AD194="","",IF(COUNTIF(Tavoli!$E$2:$AB$41,AD194)=0,"Da assegnare",IF(COUNTIF(Tavoli!$E$2:$AB$41,AD194)&gt;1,"DUPLICATO","Tavolo "&amp;SUMPRODUCT((Tavoli!$E$2:$AB$41=AD194)*Tavoli!$A$2:$A$41))))</f>
        <v/>
      </c>
    </row>
    <row r="195">
      <c r="A195" s="7" t="n"/>
      <c r="B195" s="7" t="n"/>
      <c r="C195" s="7" t="n"/>
      <c r="D195" s="7" t="n"/>
      <c r="E195" s="7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7" t="n"/>
      <c r="AC195" s="7" t="n"/>
      <c r="AD195" s="9">
        <f>IF(OR(A195&lt;&gt;"",B195&lt;&gt;""),TRIM(A195&amp;" "&amp;B195),"")</f>
        <v/>
      </c>
      <c r="AE195" s="9">
        <f>IF(AD195="","",IF(COUNTIF(Tavoli!$E$2:$AB$41,AD195)=0,"Da assegnare",IF(COUNTIF(Tavoli!$E$2:$AB$41,AD195)&gt;1,"DUPLICATO","Tavolo "&amp;SUMPRODUCT((Tavoli!$E$2:$AB$41=AD195)*Tavoli!$A$2:$A$41))))</f>
        <v/>
      </c>
    </row>
    <row r="196">
      <c r="A196" s="7" t="n"/>
      <c r="B196" s="7" t="n"/>
      <c r="C196" s="7" t="n"/>
      <c r="D196" s="7" t="n"/>
      <c r="E196" s="7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7" t="n"/>
      <c r="AC196" s="7" t="n"/>
      <c r="AD196" s="9">
        <f>IF(OR(A196&lt;&gt;"",B196&lt;&gt;""),TRIM(A196&amp;" "&amp;B196),"")</f>
        <v/>
      </c>
      <c r="AE196" s="9">
        <f>IF(AD196="","",IF(COUNTIF(Tavoli!$E$2:$AB$41,AD196)=0,"Da assegnare",IF(COUNTIF(Tavoli!$E$2:$AB$41,AD196)&gt;1,"DUPLICATO","Tavolo "&amp;SUMPRODUCT((Tavoli!$E$2:$AB$41=AD196)*Tavoli!$A$2:$A$41))))</f>
        <v/>
      </c>
    </row>
    <row r="197">
      <c r="A197" s="7" t="n"/>
      <c r="B197" s="7" t="n"/>
      <c r="C197" s="7" t="n"/>
      <c r="D197" s="7" t="n"/>
      <c r="E197" s="7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7" t="n"/>
      <c r="AC197" s="7" t="n"/>
      <c r="AD197" s="9">
        <f>IF(OR(A197&lt;&gt;"",B197&lt;&gt;""),TRIM(A197&amp;" "&amp;B197),"")</f>
        <v/>
      </c>
      <c r="AE197" s="9">
        <f>IF(AD197="","",IF(COUNTIF(Tavoli!$E$2:$AB$41,AD197)=0,"Da assegnare",IF(COUNTIF(Tavoli!$E$2:$AB$41,AD197)&gt;1,"DUPLICATO","Tavolo "&amp;SUMPRODUCT((Tavoli!$E$2:$AB$41=AD197)*Tavoli!$A$2:$A$41))))</f>
        <v/>
      </c>
    </row>
    <row r="198">
      <c r="A198" s="7" t="n"/>
      <c r="B198" s="7" t="n"/>
      <c r="C198" s="7" t="n"/>
      <c r="D198" s="7" t="n"/>
      <c r="E198" s="7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7" t="n"/>
      <c r="AC198" s="7" t="n"/>
      <c r="AD198" s="9">
        <f>IF(OR(A198&lt;&gt;"",B198&lt;&gt;""),TRIM(A198&amp;" "&amp;B198),"")</f>
        <v/>
      </c>
      <c r="AE198" s="9">
        <f>IF(AD198="","",IF(COUNTIF(Tavoli!$E$2:$AB$41,AD198)=0,"Da assegnare",IF(COUNTIF(Tavoli!$E$2:$AB$41,AD198)&gt;1,"DUPLICATO","Tavolo "&amp;SUMPRODUCT((Tavoli!$E$2:$AB$41=AD198)*Tavoli!$A$2:$A$41))))</f>
        <v/>
      </c>
    </row>
    <row r="199">
      <c r="A199" s="7" t="n"/>
      <c r="B199" s="7" t="n"/>
      <c r="C199" s="7" t="n"/>
      <c r="D199" s="7" t="n"/>
      <c r="E199" s="7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7" t="n"/>
      <c r="AC199" s="7" t="n"/>
      <c r="AD199" s="9">
        <f>IF(OR(A199&lt;&gt;"",B199&lt;&gt;""),TRIM(A199&amp;" "&amp;B199),"")</f>
        <v/>
      </c>
      <c r="AE199" s="9">
        <f>IF(AD199="","",IF(COUNTIF(Tavoli!$E$2:$AB$41,AD199)=0,"Da assegnare",IF(COUNTIF(Tavoli!$E$2:$AB$41,AD199)&gt;1,"DUPLICATO","Tavolo "&amp;SUMPRODUCT((Tavoli!$E$2:$AB$41=AD199)*Tavoli!$A$2:$A$41))))</f>
        <v/>
      </c>
    </row>
    <row r="200">
      <c r="A200" s="7" t="n"/>
      <c r="B200" s="7" t="n"/>
      <c r="C200" s="7" t="n"/>
      <c r="D200" s="7" t="n"/>
      <c r="E200" s="7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7" t="n"/>
      <c r="AC200" s="7" t="n"/>
      <c r="AD200" s="9">
        <f>IF(OR(A200&lt;&gt;"",B200&lt;&gt;""),TRIM(A200&amp;" "&amp;B200),"")</f>
        <v/>
      </c>
      <c r="AE200" s="9">
        <f>IF(AD200="","",IF(COUNTIF(Tavoli!$E$2:$AB$41,AD200)=0,"Da assegnare",IF(COUNTIF(Tavoli!$E$2:$AB$41,AD200)&gt;1,"DUPLICATO","Tavolo "&amp;SUMPRODUCT((Tavoli!$E$2:$AB$41=AD200)*Tavoli!$A$2:$A$41))))</f>
        <v/>
      </c>
    </row>
    <row r="201">
      <c r="A201" s="7" t="n"/>
      <c r="B201" s="7" t="n"/>
      <c r="C201" s="7" t="n"/>
      <c r="D201" s="7" t="n"/>
      <c r="E201" s="7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7" t="n"/>
      <c r="AC201" s="7" t="n"/>
      <c r="AD201" s="9">
        <f>IF(OR(A201&lt;&gt;"",B201&lt;&gt;""),TRIM(A201&amp;" "&amp;B201),"")</f>
        <v/>
      </c>
      <c r="AE201" s="9">
        <f>IF(AD201="","",IF(COUNTIF(Tavoli!$E$2:$AB$41,AD201)=0,"Da assegnare",IF(COUNTIF(Tavoli!$E$2:$AB$41,AD201)&gt;1,"DUPLICATO","Tavolo "&amp;SUMPRODUCT((Tavoli!$E$2:$AB$41=AD201)*Tavoli!$A$2:$A$41))))</f>
        <v/>
      </c>
    </row>
    <row r="202">
      <c r="A202" s="7" t="n"/>
      <c r="B202" s="7" t="n"/>
      <c r="C202" s="7" t="n"/>
      <c r="D202" s="7" t="n"/>
      <c r="E202" s="7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7" t="n"/>
      <c r="AC202" s="7" t="n"/>
      <c r="AD202" s="9">
        <f>IF(OR(A202&lt;&gt;"",B202&lt;&gt;""),TRIM(A202&amp;" "&amp;B202),"")</f>
        <v/>
      </c>
      <c r="AE202" s="9">
        <f>IF(AD202="","",IF(COUNTIF(Tavoli!$E$2:$AB$41,AD202)=0,"Da assegnare",IF(COUNTIF(Tavoli!$E$2:$AB$41,AD202)&gt;1,"DUPLICATO","Tavolo "&amp;SUMPRODUCT((Tavoli!$E$2:$AB$41=AD202)*Tavoli!$A$2:$A$41))))</f>
        <v/>
      </c>
    </row>
    <row r="203">
      <c r="A203" s="7" t="n"/>
      <c r="B203" s="7" t="n"/>
      <c r="C203" s="7" t="n"/>
      <c r="D203" s="7" t="n"/>
      <c r="E203" s="7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7" t="n"/>
      <c r="AC203" s="7" t="n"/>
      <c r="AD203" s="9">
        <f>IF(OR(A203&lt;&gt;"",B203&lt;&gt;""),TRIM(A203&amp;" "&amp;B203),"")</f>
        <v/>
      </c>
      <c r="AE203" s="9">
        <f>IF(AD203="","",IF(COUNTIF(Tavoli!$E$2:$AB$41,AD203)=0,"Da assegnare",IF(COUNTIF(Tavoli!$E$2:$AB$41,AD203)&gt;1,"DUPLICATO","Tavolo "&amp;SUMPRODUCT((Tavoli!$E$2:$AB$41=AD203)*Tavoli!$A$2:$A$41))))</f>
        <v/>
      </c>
    </row>
    <row r="204">
      <c r="A204" s="7" t="n"/>
      <c r="B204" s="7" t="n"/>
      <c r="C204" s="7" t="n"/>
      <c r="D204" s="7" t="n"/>
      <c r="E204" s="7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7" t="n"/>
      <c r="AC204" s="7" t="n"/>
      <c r="AD204" s="9">
        <f>IF(OR(A204&lt;&gt;"",B204&lt;&gt;""),TRIM(A204&amp;" "&amp;B204),"")</f>
        <v/>
      </c>
      <c r="AE204" s="9">
        <f>IF(AD204="","",IF(COUNTIF(Tavoli!$E$2:$AB$41,AD204)=0,"Da assegnare",IF(COUNTIF(Tavoli!$E$2:$AB$41,AD204)&gt;1,"DUPLICATO","Tavolo "&amp;SUMPRODUCT((Tavoli!$E$2:$AB$41=AD204)*Tavoli!$A$2:$A$41))))</f>
        <v/>
      </c>
    </row>
    <row r="205">
      <c r="A205" s="7" t="n"/>
      <c r="B205" s="7" t="n"/>
      <c r="C205" s="7" t="n"/>
      <c r="D205" s="7" t="n"/>
      <c r="E205" s="7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7" t="n"/>
      <c r="AC205" s="7" t="n"/>
      <c r="AD205" s="9">
        <f>IF(OR(A205&lt;&gt;"",B205&lt;&gt;""),TRIM(A205&amp;" "&amp;B205),"")</f>
        <v/>
      </c>
      <c r="AE205" s="9">
        <f>IF(AD205="","",IF(COUNTIF(Tavoli!$E$2:$AB$41,AD205)=0,"Da assegnare",IF(COUNTIF(Tavoli!$E$2:$AB$41,AD205)&gt;1,"DUPLICATO","Tavolo "&amp;SUMPRODUCT((Tavoli!$E$2:$AB$41=AD205)*Tavoli!$A$2:$A$41))))</f>
        <v/>
      </c>
    </row>
    <row r="206">
      <c r="A206" s="7" t="n"/>
      <c r="B206" s="7" t="n"/>
      <c r="C206" s="7" t="n"/>
      <c r="D206" s="7" t="n"/>
      <c r="E206" s="7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7" t="n"/>
      <c r="AC206" s="7" t="n"/>
      <c r="AD206" s="9">
        <f>IF(OR(A206&lt;&gt;"",B206&lt;&gt;""),TRIM(A206&amp;" "&amp;B206),"")</f>
        <v/>
      </c>
      <c r="AE206" s="9">
        <f>IF(AD206="","",IF(COUNTIF(Tavoli!$E$2:$AB$41,AD206)=0,"Da assegnare",IF(COUNTIF(Tavoli!$E$2:$AB$41,AD206)&gt;1,"DUPLICATO","Tavolo "&amp;SUMPRODUCT((Tavoli!$E$2:$AB$41=AD206)*Tavoli!$A$2:$A$41))))</f>
        <v/>
      </c>
    </row>
    <row r="207">
      <c r="A207" s="7" t="n"/>
      <c r="B207" s="7" t="n"/>
      <c r="C207" s="7" t="n"/>
      <c r="D207" s="7" t="n"/>
      <c r="E207" s="7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7" t="n"/>
      <c r="AC207" s="7" t="n"/>
      <c r="AD207" s="9">
        <f>IF(OR(A207&lt;&gt;"",B207&lt;&gt;""),TRIM(A207&amp;" "&amp;B207),"")</f>
        <v/>
      </c>
      <c r="AE207" s="9">
        <f>IF(AD207="","",IF(COUNTIF(Tavoli!$E$2:$AB$41,AD207)=0,"Da assegnare",IF(COUNTIF(Tavoli!$E$2:$AB$41,AD207)&gt;1,"DUPLICATO","Tavolo "&amp;SUMPRODUCT((Tavoli!$E$2:$AB$41=AD207)*Tavoli!$A$2:$A$41))))</f>
        <v/>
      </c>
    </row>
    <row r="208">
      <c r="A208" s="7" t="n"/>
      <c r="B208" s="7" t="n"/>
      <c r="C208" s="7" t="n"/>
      <c r="D208" s="7" t="n"/>
      <c r="E208" s="7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7" t="n"/>
      <c r="AC208" s="7" t="n"/>
      <c r="AD208" s="9">
        <f>IF(OR(A208&lt;&gt;"",B208&lt;&gt;""),TRIM(A208&amp;" "&amp;B208),"")</f>
        <v/>
      </c>
      <c r="AE208" s="9">
        <f>IF(AD208="","",IF(COUNTIF(Tavoli!$E$2:$AB$41,AD208)=0,"Da assegnare",IF(COUNTIF(Tavoli!$E$2:$AB$41,AD208)&gt;1,"DUPLICATO","Tavolo "&amp;SUMPRODUCT((Tavoli!$E$2:$AB$41=AD208)*Tavoli!$A$2:$A$41))))</f>
        <v/>
      </c>
    </row>
    <row r="209">
      <c r="A209" s="7" t="n"/>
      <c r="B209" s="7" t="n"/>
      <c r="C209" s="7" t="n"/>
      <c r="D209" s="7" t="n"/>
      <c r="E209" s="7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7" t="n"/>
      <c r="AC209" s="7" t="n"/>
      <c r="AD209" s="9">
        <f>IF(OR(A209&lt;&gt;"",B209&lt;&gt;""),TRIM(A209&amp;" "&amp;B209),"")</f>
        <v/>
      </c>
      <c r="AE209" s="9">
        <f>IF(AD209="","",IF(COUNTIF(Tavoli!$E$2:$AB$41,AD209)=0,"Da assegnare",IF(COUNTIF(Tavoli!$E$2:$AB$41,AD209)&gt;1,"DUPLICATO","Tavolo "&amp;SUMPRODUCT((Tavoli!$E$2:$AB$41=AD209)*Tavoli!$A$2:$A$41))))</f>
        <v/>
      </c>
    </row>
    <row r="210">
      <c r="A210" s="7" t="n"/>
      <c r="B210" s="7" t="n"/>
      <c r="C210" s="7" t="n"/>
      <c r="D210" s="7" t="n"/>
      <c r="E210" s="7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7" t="n"/>
      <c r="AC210" s="7" t="n"/>
      <c r="AD210" s="9">
        <f>IF(OR(A210&lt;&gt;"",B210&lt;&gt;""),TRIM(A210&amp;" "&amp;B210),"")</f>
        <v/>
      </c>
      <c r="AE210" s="9">
        <f>IF(AD210="","",IF(COUNTIF(Tavoli!$E$2:$AB$41,AD210)=0,"Da assegnare",IF(COUNTIF(Tavoli!$E$2:$AB$41,AD210)&gt;1,"DUPLICATO","Tavolo "&amp;SUMPRODUCT((Tavoli!$E$2:$AB$41=AD210)*Tavoli!$A$2:$A$41))))</f>
        <v/>
      </c>
    </row>
    <row r="211">
      <c r="A211" s="7" t="n"/>
      <c r="B211" s="7" t="n"/>
      <c r="C211" s="7" t="n"/>
      <c r="D211" s="7" t="n"/>
      <c r="E211" s="7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7" t="n"/>
      <c r="AC211" s="7" t="n"/>
      <c r="AD211" s="9">
        <f>IF(OR(A211&lt;&gt;"",B211&lt;&gt;""),TRIM(A211&amp;" "&amp;B211),"")</f>
        <v/>
      </c>
      <c r="AE211" s="9">
        <f>IF(AD211="","",IF(COUNTIF(Tavoli!$E$2:$AB$41,AD211)=0,"Da assegnare",IF(COUNTIF(Tavoli!$E$2:$AB$41,AD211)&gt;1,"DUPLICATO","Tavolo "&amp;SUMPRODUCT((Tavoli!$E$2:$AB$41=AD211)*Tavoli!$A$2:$A$41))))</f>
        <v/>
      </c>
    </row>
    <row r="212">
      <c r="A212" s="7" t="n"/>
      <c r="B212" s="7" t="n"/>
      <c r="C212" s="7" t="n"/>
      <c r="D212" s="7" t="n"/>
      <c r="E212" s="7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7" t="n"/>
      <c r="AC212" s="7" t="n"/>
      <c r="AD212" s="9">
        <f>IF(OR(A212&lt;&gt;"",B212&lt;&gt;""),TRIM(A212&amp;" "&amp;B212),"")</f>
        <v/>
      </c>
      <c r="AE212" s="9">
        <f>IF(AD212="","",IF(COUNTIF(Tavoli!$E$2:$AB$41,AD212)=0,"Da assegnare",IF(COUNTIF(Tavoli!$E$2:$AB$41,AD212)&gt;1,"DUPLICATO","Tavolo "&amp;SUMPRODUCT((Tavoli!$E$2:$AB$41=AD212)*Tavoli!$A$2:$A$41))))</f>
        <v/>
      </c>
    </row>
    <row r="213">
      <c r="A213" s="7" t="n"/>
      <c r="B213" s="7" t="n"/>
      <c r="C213" s="7" t="n"/>
      <c r="D213" s="7" t="n"/>
      <c r="E213" s="7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7" t="n"/>
      <c r="AC213" s="7" t="n"/>
      <c r="AD213" s="9">
        <f>IF(OR(A213&lt;&gt;"",B213&lt;&gt;""),TRIM(A213&amp;" "&amp;B213),"")</f>
        <v/>
      </c>
      <c r="AE213" s="9">
        <f>IF(AD213="","",IF(COUNTIF(Tavoli!$E$2:$AB$41,AD213)=0,"Da assegnare",IF(COUNTIF(Tavoli!$E$2:$AB$41,AD213)&gt;1,"DUPLICATO","Tavolo "&amp;SUMPRODUCT((Tavoli!$E$2:$AB$41=AD213)*Tavoli!$A$2:$A$41))))</f>
        <v/>
      </c>
    </row>
    <row r="214">
      <c r="A214" s="7" t="n"/>
      <c r="B214" s="7" t="n"/>
      <c r="C214" s="7" t="n"/>
      <c r="D214" s="7" t="n"/>
      <c r="E214" s="7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7" t="n"/>
      <c r="AC214" s="7" t="n"/>
      <c r="AD214" s="9">
        <f>IF(OR(A214&lt;&gt;"",B214&lt;&gt;""),TRIM(A214&amp;" "&amp;B214),"")</f>
        <v/>
      </c>
      <c r="AE214" s="9">
        <f>IF(AD214="","",IF(COUNTIF(Tavoli!$E$2:$AB$41,AD214)=0,"Da assegnare",IF(COUNTIF(Tavoli!$E$2:$AB$41,AD214)&gt;1,"DUPLICATO","Tavolo "&amp;SUMPRODUCT((Tavoli!$E$2:$AB$41=AD214)*Tavoli!$A$2:$A$41))))</f>
        <v/>
      </c>
    </row>
    <row r="215">
      <c r="A215" s="7" t="n"/>
      <c r="B215" s="7" t="n"/>
      <c r="C215" s="7" t="n"/>
      <c r="D215" s="7" t="n"/>
      <c r="E215" s="7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7" t="n"/>
      <c r="AC215" s="7" t="n"/>
      <c r="AD215" s="9">
        <f>IF(OR(A215&lt;&gt;"",B215&lt;&gt;""),TRIM(A215&amp;" "&amp;B215),"")</f>
        <v/>
      </c>
      <c r="AE215" s="9">
        <f>IF(AD215="","",IF(COUNTIF(Tavoli!$E$2:$AB$41,AD215)=0,"Da assegnare",IF(COUNTIF(Tavoli!$E$2:$AB$41,AD215)&gt;1,"DUPLICATO","Tavolo "&amp;SUMPRODUCT((Tavoli!$E$2:$AB$41=AD215)*Tavoli!$A$2:$A$41))))</f>
        <v/>
      </c>
    </row>
    <row r="216">
      <c r="A216" s="7" t="n"/>
      <c r="B216" s="7" t="n"/>
      <c r="C216" s="7" t="n"/>
      <c r="D216" s="7" t="n"/>
      <c r="E216" s="7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7" t="n"/>
      <c r="AC216" s="7" t="n"/>
      <c r="AD216" s="9">
        <f>IF(OR(A216&lt;&gt;"",B216&lt;&gt;""),TRIM(A216&amp;" "&amp;B216),"")</f>
        <v/>
      </c>
      <c r="AE216" s="9">
        <f>IF(AD216="","",IF(COUNTIF(Tavoli!$E$2:$AB$41,AD216)=0,"Da assegnare",IF(COUNTIF(Tavoli!$E$2:$AB$41,AD216)&gt;1,"DUPLICATO","Tavolo "&amp;SUMPRODUCT((Tavoli!$E$2:$AB$41=AD216)*Tavoli!$A$2:$A$41))))</f>
        <v/>
      </c>
    </row>
    <row r="217">
      <c r="A217" s="7" t="n"/>
      <c r="B217" s="7" t="n"/>
      <c r="C217" s="7" t="n"/>
      <c r="D217" s="7" t="n"/>
      <c r="E217" s="7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7" t="n"/>
      <c r="AC217" s="7" t="n"/>
      <c r="AD217" s="9">
        <f>IF(OR(A217&lt;&gt;"",B217&lt;&gt;""),TRIM(A217&amp;" "&amp;B217),"")</f>
        <v/>
      </c>
      <c r="AE217" s="9">
        <f>IF(AD217="","",IF(COUNTIF(Tavoli!$E$2:$AB$41,AD217)=0,"Da assegnare",IF(COUNTIF(Tavoli!$E$2:$AB$41,AD217)&gt;1,"DUPLICATO","Tavolo "&amp;SUMPRODUCT((Tavoli!$E$2:$AB$41=AD217)*Tavoli!$A$2:$A$41))))</f>
        <v/>
      </c>
    </row>
    <row r="218">
      <c r="A218" s="7" t="n"/>
      <c r="B218" s="7" t="n"/>
      <c r="C218" s="7" t="n"/>
      <c r="D218" s="7" t="n"/>
      <c r="E218" s="7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7" t="n"/>
      <c r="AC218" s="7" t="n"/>
      <c r="AD218" s="9">
        <f>IF(OR(A218&lt;&gt;"",B218&lt;&gt;""),TRIM(A218&amp;" "&amp;B218),"")</f>
        <v/>
      </c>
      <c r="AE218" s="9">
        <f>IF(AD218="","",IF(COUNTIF(Tavoli!$E$2:$AB$41,AD218)=0,"Da assegnare",IF(COUNTIF(Tavoli!$E$2:$AB$41,AD218)&gt;1,"DUPLICATO","Tavolo "&amp;SUMPRODUCT((Tavoli!$E$2:$AB$41=AD218)*Tavoli!$A$2:$A$41))))</f>
        <v/>
      </c>
    </row>
    <row r="219">
      <c r="A219" s="7" t="n"/>
      <c r="B219" s="7" t="n"/>
      <c r="C219" s="7" t="n"/>
      <c r="D219" s="7" t="n"/>
      <c r="E219" s="7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7" t="n"/>
      <c r="AC219" s="7" t="n"/>
      <c r="AD219" s="9">
        <f>IF(OR(A219&lt;&gt;"",B219&lt;&gt;""),TRIM(A219&amp;" "&amp;B219),"")</f>
        <v/>
      </c>
      <c r="AE219" s="9">
        <f>IF(AD219="","",IF(COUNTIF(Tavoli!$E$2:$AB$41,AD219)=0,"Da assegnare",IF(COUNTIF(Tavoli!$E$2:$AB$41,AD219)&gt;1,"DUPLICATO","Tavolo "&amp;SUMPRODUCT((Tavoli!$E$2:$AB$41=AD219)*Tavoli!$A$2:$A$41))))</f>
        <v/>
      </c>
    </row>
    <row r="220">
      <c r="A220" s="7" t="n"/>
      <c r="B220" s="7" t="n"/>
      <c r="C220" s="7" t="n"/>
      <c r="D220" s="7" t="n"/>
      <c r="E220" s="7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7" t="n"/>
      <c r="AC220" s="7" t="n"/>
      <c r="AD220" s="9">
        <f>IF(OR(A220&lt;&gt;"",B220&lt;&gt;""),TRIM(A220&amp;" "&amp;B220),"")</f>
        <v/>
      </c>
      <c r="AE220" s="9">
        <f>IF(AD220="","",IF(COUNTIF(Tavoli!$E$2:$AB$41,AD220)=0,"Da assegnare",IF(COUNTIF(Tavoli!$E$2:$AB$41,AD220)&gt;1,"DUPLICATO","Tavolo "&amp;SUMPRODUCT((Tavoli!$E$2:$AB$41=AD220)*Tavoli!$A$2:$A$41))))</f>
        <v/>
      </c>
    </row>
    <row r="221">
      <c r="A221" s="7" t="n"/>
      <c r="B221" s="7" t="n"/>
      <c r="C221" s="7" t="n"/>
      <c r="D221" s="7" t="n"/>
      <c r="E221" s="7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7" t="n"/>
      <c r="AC221" s="7" t="n"/>
      <c r="AD221" s="9">
        <f>IF(OR(A221&lt;&gt;"",B221&lt;&gt;""),TRIM(A221&amp;" "&amp;B221),"")</f>
        <v/>
      </c>
      <c r="AE221" s="9">
        <f>IF(AD221="","",IF(COUNTIF(Tavoli!$E$2:$AB$41,AD221)=0,"Da assegnare",IF(COUNTIF(Tavoli!$E$2:$AB$41,AD221)&gt;1,"DUPLICATO","Tavolo "&amp;SUMPRODUCT((Tavoli!$E$2:$AB$41=AD221)*Tavoli!$A$2:$A$41))))</f>
        <v/>
      </c>
    </row>
    <row r="222">
      <c r="A222" s="7" t="n"/>
      <c r="B222" s="7" t="n"/>
      <c r="C222" s="7" t="n"/>
      <c r="D222" s="7" t="n"/>
      <c r="E222" s="7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7" t="n"/>
      <c r="AC222" s="7" t="n"/>
      <c r="AD222" s="9">
        <f>IF(OR(A222&lt;&gt;"",B222&lt;&gt;""),TRIM(A222&amp;" "&amp;B222),"")</f>
        <v/>
      </c>
      <c r="AE222" s="9">
        <f>IF(AD222="","",IF(COUNTIF(Tavoli!$E$2:$AB$41,AD222)=0,"Da assegnare",IF(COUNTIF(Tavoli!$E$2:$AB$41,AD222)&gt;1,"DUPLICATO","Tavolo "&amp;SUMPRODUCT((Tavoli!$E$2:$AB$41=AD222)*Tavoli!$A$2:$A$41))))</f>
        <v/>
      </c>
    </row>
    <row r="223">
      <c r="A223" s="7" t="n"/>
      <c r="B223" s="7" t="n"/>
      <c r="C223" s="7" t="n"/>
      <c r="D223" s="7" t="n"/>
      <c r="E223" s="7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7" t="n"/>
      <c r="AC223" s="7" t="n"/>
      <c r="AD223" s="9">
        <f>IF(OR(A223&lt;&gt;"",B223&lt;&gt;""),TRIM(A223&amp;" "&amp;B223),"")</f>
        <v/>
      </c>
      <c r="AE223" s="9">
        <f>IF(AD223="","",IF(COUNTIF(Tavoli!$E$2:$AB$41,AD223)=0,"Da assegnare",IF(COUNTIF(Tavoli!$E$2:$AB$41,AD223)&gt;1,"DUPLICATO","Tavolo "&amp;SUMPRODUCT((Tavoli!$E$2:$AB$41=AD223)*Tavoli!$A$2:$A$41))))</f>
        <v/>
      </c>
    </row>
    <row r="224">
      <c r="A224" s="7" t="n"/>
      <c r="B224" s="7" t="n"/>
      <c r="C224" s="7" t="n"/>
      <c r="D224" s="7" t="n"/>
      <c r="E224" s="7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7" t="n"/>
      <c r="AC224" s="7" t="n"/>
      <c r="AD224" s="9">
        <f>IF(OR(A224&lt;&gt;"",B224&lt;&gt;""),TRIM(A224&amp;" "&amp;B224),"")</f>
        <v/>
      </c>
      <c r="AE224" s="9">
        <f>IF(AD224="","",IF(COUNTIF(Tavoli!$E$2:$AB$41,AD224)=0,"Da assegnare",IF(COUNTIF(Tavoli!$E$2:$AB$41,AD224)&gt;1,"DUPLICATO","Tavolo "&amp;SUMPRODUCT((Tavoli!$E$2:$AB$41=AD224)*Tavoli!$A$2:$A$41))))</f>
        <v/>
      </c>
    </row>
    <row r="225">
      <c r="A225" s="7" t="n"/>
      <c r="B225" s="7" t="n"/>
      <c r="C225" s="7" t="n"/>
      <c r="D225" s="7" t="n"/>
      <c r="E225" s="7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7" t="n"/>
      <c r="AC225" s="7" t="n"/>
      <c r="AD225" s="9">
        <f>IF(OR(A225&lt;&gt;"",B225&lt;&gt;""),TRIM(A225&amp;" "&amp;B225),"")</f>
        <v/>
      </c>
      <c r="AE225" s="9">
        <f>IF(AD225="","",IF(COUNTIF(Tavoli!$E$2:$AB$41,AD225)=0,"Da assegnare",IF(COUNTIF(Tavoli!$E$2:$AB$41,AD225)&gt;1,"DUPLICATO","Tavolo "&amp;SUMPRODUCT((Tavoli!$E$2:$AB$41=AD225)*Tavoli!$A$2:$A$41))))</f>
        <v/>
      </c>
    </row>
    <row r="226">
      <c r="A226" s="7" t="n"/>
      <c r="B226" s="7" t="n"/>
      <c r="C226" s="7" t="n"/>
      <c r="D226" s="7" t="n"/>
      <c r="E226" s="7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7" t="n"/>
      <c r="AC226" s="7" t="n"/>
      <c r="AD226" s="9">
        <f>IF(OR(A226&lt;&gt;"",B226&lt;&gt;""),TRIM(A226&amp;" "&amp;B226),"")</f>
        <v/>
      </c>
      <c r="AE226" s="9">
        <f>IF(AD226="","",IF(COUNTIF(Tavoli!$E$2:$AB$41,AD226)=0,"Da assegnare",IF(COUNTIF(Tavoli!$E$2:$AB$41,AD226)&gt;1,"DUPLICATO","Tavolo "&amp;SUMPRODUCT((Tavoli!$E$2:$AB$41=AD226)*Tavoli!$A$2:$A$41))))</f>
        <v/>
      </c>
    </row>
    <row r="227">
      <c r="A227" s="7" t="n"/>
      <c r="B227" s="7" t="n"/>
      <c r="C227" s="7" t="n"/>
      <c r="D227" s="7" t="n"/>
      <c r="E227" s="7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7" t="n"/>
      <c r="AC227" s="7" t="n"/>
      <c r="AD227" s="9">
        <f>IF(OR(A227&lt;&gt;"",B227&lt;&gt;""),TRIM(A227&amp;" "&amp;B227),"")</f>
        <v/>
      </c>
      <c r="AE227" s="9">
        <f>IF(AD227="","",IF(COUNTIF(Tavoli!$E$2:$AB$41,AD227)=0,"Da assegnare",IF(COUNTIF(Tavoli!$E$2:$AB$41,AD227)&gt;1,"DUPLICATO","Tavolo "&amp;SUMPRODUCT((Tavoli!$E$2:$AB$41=AD227)*Tavoli!$A$2:$A$41))))</f>
        <v/>
      </c>
    </row>
    <row r="228">
      <c r="A228" s="7" t="n"/>
      <c r="B228" s="7" t="n"/>
      <c r="C228" s="7" t="n"/>
      <c r="D228" s="7" t="n"/>
      <c r="E228" s="7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7" t="n"/>
      <c r="AC228" s="7" t="n"/>
      <c r="AD228" s="9">
        <f>IF(OR(A228&lt;&gt;"",B228&lt;&gt;""),TRIM(A228&amp;" "&amp;B228),"")</f>
        <v/>
      </c>
      <c r="AE228" s="9">
        <f>IF(AD228="","",IF(COUNTIF(Tavoli!$E$2:$AB$41,AD228)=0,"Da assegnare",IF(COUNTIF(Tavoli!$E$2:$AB$41,AD228)&gt;1,"DUPLICATO","Tavolo "&amp;SUMPRODUCT((Tavoli!$E$2:$AB$41=AD228)*Tavoli!$A$2:$A$41))))</f>
        <v/>
      </c>
    </row>
    <row r="229">
      <c r="A229" s="7" t="n"/>
      <c r="B229" s="7" t="n"/>
      <c r="C229" s="7" t="n"/>
      <c r="D229" s="7" t="n"/>
      <c r="E229" s="7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7" t="n"/>
      <c r="AC229" s="7" t="n"/>
      <c r="AD229" s="9">
        <f>IF(OR(A229&lt;&gt;"",B229&lt;&gt;""),TRIM(A229&amp;" "&amp;B229),"")</f>
        <v/>
      </c>
      <c r="AE229" s="9">
        <f>IF(AD229="","",IF(COUNTIF(Tavoli!$E$2:$AB$41,AD229)=0,"Da assegnare",IF(COUNTIF(Tavoli!$E$2:$AB$41,AD229)&gt;1,"DUPLICATO","Tavolo "&amp;SUMPRODUCT((Tavoli!$E$2:$AB$41=AD229)*Tavoli!$A$2:$A$41))))</f>
        <v/>
      </c>
    </row>
    <row r="230">
      <c r="A230" s="7" t="n"/>
      <c r="B230" s="7" t="n"/>
      <c r="C230" s="7" t="n"/>
      <c r="D230" s="7" t="n"/>
      <c r="E230" s="7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7" t="n"/>
      <c r="AC230" s="7" t="n"/>
      <c r="AD230" s="9">
        <f>IF(OR(A230&lt;&gt;"",B230&lt;&gt;""),TRIM(A230&amp;" "&amp;B230),"")</f>
        <v/>
      </c>
      <c r="AE230" s="9">
        <f>IF(AD230="","",IF(COUNTIF(Tavoli!$E$2:$AB$41,AD230)=0,"Da assegnare",IF(COUNTIF(Tavoli!$E$2:$AB$41,AD230)&gt;1,"DUPLICATO","Tavolo "&amp;SUMPRODUCT((Tavoli!$E$2:$AB$41=AD230)*Tavoli!$A$2:$A$41))))</f>
        <v/>
      </c>
    </row>
    <row r="231">
      <c r="A231" s="7" t="n"/>
      <c r="B231" s="7" t="n"/>
      <c r="C231" s="7" t="n"/>
      <c r="D231" s="7" t="n"/>
      <c r="E231" s="7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7" t="n"/>
      <c r="AC231" s="7" t="n"/>
      <c r="AD231" s="9">
        <f>IF(OR(A231&lt;&gt;"",B231&lt;&gt;""),TRIM(A231&amp;" "&amp;B231),"")</f>
        <v/>
      </c>
      <c r="AE231" s="9">
        <f>IF(AD231="","",IF(COUNTIF(Tavoli!$E$2:$AB$41,AD231)=0,"Da assegnare",IF(COUNTIF(Tavoli!$E$2:$AB$41,AD231)&gt;1,"DUPLICATO","Tavolo "&amp;SUMPRODUCT((Tavoli!$E$2:$AB$41=AD231)*Tavoli!$A$2:$A$41))))</f>
        <v/>
      </c>
    </row>
    <row r="232">
      <c r="A232" s="7" t="n"/>
      <c r="B232" s="7" t="n"/>
      <c r="C232" s="7" t="n"/>
      <c r="D232" s="7" t="n"/>
      <c r="E232" s="7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7" t="n"/>
      <c r="AC232" s="7" t="n"/>
      <c r="AD232" s="9">
        <f>IF(OR(A232&lt;&gt;"",B232&lt;&gt;""),TRIM(A232&amp;" "&amp;B232),"")</f>
        <v/>
      </c>
      <c r="AE232" s="9">
        <f>IF(AD232="","",IF(COUNTIF(Tavoli!$E$2:$AB$41,AD232)=0,"Da assegnare",IF(COUNTIF(Tavoli!$E$2:$AB$41,AD232)&gt;1,"DUPLICATO","Tavolo "&amp;SUMPRODUCT((Tavoli!$E$2:$AB$41=AD232)*Tavoli!$A$2:$A$41))))</f>
        <v/>
      </c>
    </row>
    <row r="233">
      <c r="A233" s="7" t="n"/>
      <c r="B233" s="7" t="n"/>
      <c r="C233" s="7" t="n"/>
      <c r="D233" s="7" t="n"/>
      <c r="E233" s="7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7" t="n"/>
      <c r="AC233" s="7" t="n"/>
      <c r="AD233" s="9">
        <f>IF(OR(A233&lt;&gt;"",B233&lt;&gt;""),TRIM(A233&amp;" "&amp;B233),"")</f>
        <v/>
      </c>
      <c r="AE233" s="9">
        <f>IF(AD233="","",IF(COUNTIF(Tavoli!$E$2:$AB$41,AD233)=0,"Da assegnare",IF(COUNTIF(Tavoli!$E$2:$AB$41,AD233)&gt;1,"DUPLICATO","Tavolo "&amp;SUMPRODUCT((Tavoli!$E$2:$AB$41=AD233)*Tavoli!$A$2:$A$41))))</f>
        <v/>
      </c>
    </row>
    <row r="234">
      <c r="A234" s="7" t="n"/>
      <c r="B234" s="7" t="n"/>
      <c r="C234" s="7" t="n"/>
      <c r="D234" s="7" t="n"/>
      <c r="E234" s="7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7" t="n"/>
      <c r="AC234" s="7" t="n"/>
      <c r="AD234" s="9">
        <f>IF(OR(A234&lt;&gt;"",B234&lt;&gt;""),TRIM(A234&amp;" "&amp;B234),"")</f>
        <v/>
      </c>
      <c r="AE234" s="9">
        <f>IF(AD234="","",IF(COUNTIF(Tavoli!$E$2:$AB$41,AD234)=0,"Da assegnare",IF(COUNTIF(Tavoli!$E$2:$AB$41,AD234)&gt;1,"DUPLICATO","Tavolo "&amp;SUMPRODUCT((Tavoli!$E$2:$AB$41=AD234)*Tavoli!$A$2:$A$41))))</f>
        <v/>
      </c>
    </row>
    <row r="235">
      <c r="A235" s="7" t="n"/>
      <c r="B235" s="7" t="n"/>
      <c r="C235" s="7" t="n"/>
      <c r="D235" s="7" t="n"/>
      <c r="E235" s="7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7" t="n"/>
      <c r="AC235" s="7" t="n"/>
      <c r="AD235" s="9">
        <f>IF(OR(A235&lt;&gt;"",B235&lt;&gt;""),TRIM(A235&amp;" "&amp;B235),"")</f>
        <v/>
      </c>
      <c r="AE235" s="9">
        <f>IF(AD235="","",IF(COUNTIF(Tavoli!$E$2:$AB$41,AD235)=0,"Da assegnare",IF(COUNTIF(Tavoli!$E$2:$AB$41,AD235)&gt;1,"DUPLICATO","Tavolo "&amp;SUMPRODUCT((Tavoli!$E$2:$AB$41=AD235)*Tavoli!$A$2:$A$41))))</f>
        <v/>
      </c>
    </row>
    <row r="236">
      <c r="A236" s="7" t="n"/>
      <c r="B236" s="7" t="n"/>
      <c r="C236" s="7" t="n"/>
      <c r="D236" s="7" t="n"/>
      <c r="E236" s="7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7" t="n"/>
      <c r="AC236" s="7" t="n"/>
      <c r="AD236" s="9">
        <f>IF(OR(A236&lt;&gt;"",B236&lt;&gt;""),TRIM(A236&amp;" "&amp;B236),"")</f>
        <v/>
      </c>
      <c r="AE236" s="9">
        <f>IF(AD236="","",IF(COUNTIF(Tavoli!$E$2:$AB$41,AD236)=0,"Da assegnare",IF(COUNTIF(Tavoli!$E$2:$AB$41,AD236)&gt;1,"DUPLICATO","Tavolo "&amp;SUMPRODUCT((Tavoli!$E$2:$AB$41=AD236)*Tavoli!$A$2:$A$41))))</f>
        <v/>
      </c>
    </row>
    <row r="237">
      <c r="A237" s="7" t="n"/>
      <c r="B237" s="7" t="n"/>
      <c r="C237" s="7" t="n"/>
      <c r="D237" s="7" t="n"/>
      <c r="E237" s="7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7" t="n"/>
      <c r="AC237" s="7" t="n"/>
      <c r="AD237" s="9">
        <f>IF(OR(A237&lt;&gt;"",B237&lt;&gt;""),TRIM(A237&amp;" "&amp;B237),"")</f>
        <v/>
      </c>
      <c r="AE237" s="9">
        <f>IF(AD237="","",IF(COUNTIF(Tavoli!$E$2:$AB$41,AD237)=0,"Da assegnare",IF(COUNTIF(Tavoli!$E$2:$AB$41,AD237)&gt;1,"DUPLICATO","Tavolo "&amp;SUMPRODUCT((Tavoli!$E$2:$AB$41=AD237)*Tavoli!$A$2:$A$41))))</f>
        <v/>
      </c>
    </row>
    <row r="238">
      <c r="A238" s="7" t="n"/>
      <c r="B238" s="7" t="n"/>
      <c r="C238" s="7" t="n"/>
      <c r="D238" s="7" t="n"/>
      <c r="E238" s="7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7" t="n"/>
      <c r="AC238" s="7" t="n"/>
      <c r="AD238" s="9">
        <f>IF(OR(A238&lt;&gt;"",B238&lt;&gt;""),TRIM(A238&amp;" "&amp;B238),"")</f>
        <v/>
      </c>
      <c r="AE238" s="9">
        <f>IF(AD238="","",IF(COUNTIF(Tavoli!$E$2:$AB$41,AD238)=0,"Da assegnare",IF(COUNTIF(Tavoli!$E$2:$AB$41,AD238)&gt;1,"DUPLICATO","Tavolo "&amp;SUMPRODUCT((Tavoli!$E$2:$AB$41=AD238)*Tavoli!$A$2:$A$41))))</f>
        <v/>
      </c>
    </row>
    <row r="239">
      <c r="A239" s="7" t="n"/>
      <c r="B239" s="7" t="n"/>
      <c r="C239" s="7" t="n"/>
      <c r="D239" s="7" t="n"/>
      <c r="E239" s="7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7" t="n"/>
      <c r="AC239" s="7" t="n"/>
      <c r="AD239" s="9">
        <f>IF(OR(A239&lt;&gt;"",B239&lt;&gt;""),TRIM(A239&amp;" "&amp;B239),"")</f>
        <v/>
      </c>
      <c r="AE239" s="9">
        <f>IF(AD239="","",IF(COUNTIF(Tavoli!$E$2:$AB$41,AD239)=0,"Da assegnare",IF(COUNTIF(Tavoli!$E$2:$AB$41,AD239)&gt;1,"DUPLICATO","Tavolo "&amp;SUMPRODUCT((Tavoli!$E$2:$AB$41=AD239)*Tavoli!$A$2:$A$41))))</f>
        <v/>
      </c>
    </row>
    <row r="240">
      <c r="A240" s="7" t="n"/>
      <c r="B240" s="7" t="n"/>
      <c r="C240" s="7" t="n"/>
      <c r="D240" s="7" t="n"/>
      <c r="E240" s="7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7" t="n"/>
      <c r="AC240" s="7" t="n"/>
      <c r="AD240" s="9">
        <f>IF(OR(A240&lt;&gt;"",B240&lt;&gt;""),TRIM(A240&amp;" "&amp;B240),"")</f>
        <v/>
      </c>
      <c r="AE240" s="9">
        <f>IF(AD240="","",IF(COUNTIF(Tavoli!$E$2:$AB$41,AD240)=0,"Da assegnare",IF(COUNTIF(Tavoli!$E$2:$AB$41,AD240)&gt;1,"DUPLICATO","Tavolo "&amp;SUMPRODUCT((Tavoli!$E$2:$AB$41=AD240)*Tavoli!$A$2:$A$41))))</f>
        <v/>
      </c>
    </row>
    <row r="241">
      <c r="A241" s="7" t="n"/>
      <c r="B241" s="7" t="n"/>
      <c r="C241" s="7" t="n"/>
      <c r="D241" s="7" t="n"/>
      <c r="E241" s="7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7" t="n"/>
      <c r="AC241" s="7" t="n"/>
      <c r="AD241" s="9">
        <f>IF(OR(A241&lt;&gt;"",B241&lt;&gt;""),TRIM(A241&amp;" "&amp;B241),"")</f>
        <v/>
      </c>
      <c r="AE241" s="9">
        <f>IF(AD241="","",IF(COUNTIF(Tavoli!$E$2:$AB$41,AD241)=0,"Da assegnare",IF(COUNTIF(Tavoli!$E$2:$AB$41,AD241)&gt;1,"DUPLICATO","Tavolo "&amp;SUMPRODUCT((Tavoli!$E$2:$AB$41=AD241)*Tavoli!$A$2:$A$41))))</f>
        <v/>
      </c>
    </row>
    <row r="242">
      <c r="A242" s="7" t="n"/>
      <c r="B242" s="7" t="n"/>
      <c r="C242" s="7" t="n"/>
      <c r="D242" s="7" t="n"/>
      <c r="E242" s="7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7" t="n"/>
      <c r="AC242" s="7" t="n"/>
      <c r="AD242" s="9">
        <f>IF(OR(A242&lt;&gt;"",B242&lt;&gt;""),TRIM(A242&amp;" "&amp;B242),"")</f>
        <v/>
      </c>
      <c r="AE242" s="9">
        <f>IF(AD242="","",IF(COUNTIF(Tavoli!$E$2:$AB$41,AD242)=0,"Da assegnare",IF(COUNTIF(Tavoli!$E$2:$AB$41,AD242)&gt;1,"DUPLICATO","Tavolo "&amp;SUMPRODUCT((Tavoli!$E$2:$AB$41=AD242)*Tavoli!$A$2:$A$41))))</f>
        <v/>
      </c>
    </row>
    <row r="243">
      <c r="A243" s="7" t="n"/>
      <c r="B243" s="7" t="n"/>
      <c r="C243" s="7" t="n"/>
      <c r="D243" s="7" t="n"/>
      <c r="E243" s="7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7" t="n"/>
      <c r="AC243" s="7" t="n"/>
      <c r="AD243" s="9">
        <f>IF(OR(A243&lt;&gt;"",B243&lt;&gt;""),TRIM(A243&amp;" "&amp;B243),"")</f>
        <v/>
      </c>
      <c r="AE243" s="9">
        <f>IF(AD243="","",IF(COUNTIF(Tavoli!$E$2:$AB$41,AD243)=0,"Da assegnare",IF(COUNTIF(Tavoli!$E$2:$AB$41,AD243)&gt;1,"DUPLICATO","Tavolo "&amp;SUMPRODUCT((Tavoli!$E$2:$AB$41=AD243)*Tavoli!$A$2:$A$41))))</f>
        <v/>
      </c>
    </row>
    <row r="244">
      <c r="A244" s="7" t="n"/>
      <c r="B244" s="7" t="n"/>
      <c r="C244" s="7" t="n"/>
      <c r="D244" s="7" t="n"/>
      <c r="E244" s="7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7" t="n"/>
      <c r="AC244" s="7" t="n"/>
      <c r="AD244" s="9">
        <f>IF(OR(A244&lt;&gt;"",B244&lt;&gt;""),TRIM(A244&amp;" "&amp;B244),"")</f>
        <v/>
      </c>
      <c r="AE244" s="9">
        <f>IF(AD244="","",IF(COUNTIF(Tavoli!$E$2:$AB$41,AD244)=0,"Da assegnare",IF(COUNTIF(Tavoli!$E$2:$AB$41,AD244)&gt;1,"DUPLICATO","Tavolo "&amp;SUMPRODUCT((Tavoli!$E$2:$AB$41=AD244)*Tavoli!$A$2:$A$41))))</f>
        <v/>
      </c>
    </row>
    <row r="245">
      <c r="A245" s="7" t="n"/>
      <c r="B245" s="7" t="n"/>
      <c r="C245" s="7" t="n"/>
      <c r="D245" s="7" t="n"/>
      <c r="E245" s="7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7" t="n"/>
      <c r="AC245" s="7" t="n"/>
      <c r="AD245" s="9">
        <f>IF(OR(A245&lt;&gt;"",B245&lt;&gt;""),TRIM(A245&amp;" "&amp;B245),"")</f>
        <v/>
      </c>
      <c r="AE245" s="9">
        <f>IF(AD245="","",IF(COUNTIF(Tavoli!$E$2:$AB$41,AD245)=0,"Da assegnare",IF(COUNTIF(Tavoli!$E$2:$AB$41,AD245)&gt;1,"DUPLICATO","Tavolo "&amp;SUMPRODUCT((Tavoli!$E$2:$AB$41=AD245)*Tavoli!$A$2:$A$41))))</f>
        <v/>
      </c>
    </row>
    <row r="246">
      <c r="A246" s="7" t="n"/>
      <c r="B246" s="7" t="n"/>
      <c r="C246" s="7" t="n"/>
      <c r="D246" s="7" t="n"/>
      <c r="E246" s="7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7" t="n"/>
      <c r="AC246" s="7" t="n"/>
      <c r="AD246" s="9">
        <f>IF(OR(A246&lt;&gt;"",B246&lt;&gt;""),TRIM(A246&amp;" "&amp;B246),"")</f>
        <v/>
      </c>
      <c r="AE246" s="9">
        <f>IF(AD246="","",IF(COUNTIF(Tavoli!$E$2:$AB$41,AD246)=0,"Da assegnare",IF(COUNTIF(Tavoli!$E$2:$AB$41,AD246)&gt;1,"DUPLICATO","Tavolo "&amp;SUMPRODUCT((Tavoli!$E$2:$AB$41=AD246)*Tavoli!$A$2:$A$41))))</f>
        <v/>
      </c>
    </row>
    <row r="247">
      <c r="A247" s="7" t="n"/>
      <c r="B247" s="7" t="n"/>
      <c r="C247" s="7" t="n"/>
      <c r="D247" s="7" t="n"/>
      <c r="E247" s="7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7" t="n"/>
      <c r="AC247" s="7" t="n"/>
      <c r="AD247" s="9">
        <f>IF(OR(A247&lt;&gt;"",B247&lt;&gt;""),TRIM(A247&amp;" "&amp;B247),"")</f>
        <v/>
      </c>
      <c r="AE247" s="9">
        <f>IF(AD247="","",IF(COUNTIF(Tavoli!$E$2:$AB$41,AD247)=0,"Da assegnare",IF(COUNTIF(Tavoli!$E$2:$AB$41,AD247)&gt;1,"DUPLICATO","Tavolo "&amp;SUMPRODUCT((Tavoli!$E$2:$AB$41=AD247)*Tavoli!$A$2:$A$41))))</f>
        <v/>
      </c>
    </row>
    <row r="248">
      <c r="A248" s="7" t="n"/>
      <c r="B248" s="7" t="n"/>
      <c r="C248" s="7" t="n"/>
      <c r="D248" s="7" t="n"/>
      <c r="E248" s="7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7" t="n"/>
      <c r="AC248" s="7" t="n"/>
      <c r="AD248" s="9">
        <f>IF(OR(A248&lt;&gt;"",B248&lt;&gt;""),TRIM(A248&amp;" "&amp;B248),"")</f>
        <v/>
      </c>
      <c r="AE248" s="9">
        <f>IF(AD248="","",IF(COUNTIF(Tavoli!$E$2:$AB$41,AD248)=0,"Da assegnare",IF(COUNTIF(Tavoli!$E$2:$AB$41,AD248)&gt;1,"DUPLICATO","Tavolo "&amp;SUMPRODUCT((Tavoli!$E$2:$AB$41=AD248)*Tavoli!$A$2:$A$41))))</f>
        <v/>
      </c>
    </row>
    <row r="249">
      <c r="A249" s="7" t="n"/>
      <c r="B249" s="7" t="n"/>
      <c r="C249" s="7" t="n"/>
      <c r="D249" s="7" t="n"/>
      <c r="E249" s="7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7" t="n"/>
      <c r="AC249" s="7" t="n"/>
      <c r="AD249" s="9">
        <f>IF(OR(A249&lt;&gt;"",B249&lt;&gt;""),TRIM(A249&amp;" "&amp;B249),"")</f>
        <v/>
      </c>
      <c r="AE249" s="9">
        <f>IF(AD249="","",IF(COUNTIF(Tavoli!$E$2:$AB$41,AD249)=0,"Da assegnare",IF(COUNTIF(Tavoli!$E$2:$AB$41,AD249)&gt;1,"DUPLICATO","Tavolo "&amp;SUMPRODUCT((Tavoli!$E$2:$AB$41=AD249)*Tavoli!$A$2:$A$41))))</f>
        <v/>
      </c>
    </row>
    <row r="250">
      <c r="A250" s="7" t="n"/>
      <c r="B250" s="7" t="n"/>
      <c r="C250" s="7" t="n"/>
      <c r="D250" s="7" t="n"/>
      <c r="E250" s="7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7" t="n"/>
      <c r="AC250" s="7" t="n"/>
      <c r="AD250" s="9">
        <f>IF(OR(A250&lt;&gt;"",B250&lt;&gt;""),TRIM(A250&amp;" "&amp;B250),"")</f>
        <v/>
      </c>
      <c r="AE250" s="9">
        <f>IF(AD250="","",IF(COUNTIF(Tavoli!$E$2:$AB$41,AD250)=0,"Da assegnare",IF(COUNTIF(Tavoli!$E$2:$AB$41,AD250)&gt;1,"DUPLICATO","Tavolo "&amp;SUMPRODUCT((Tavoli!$E$2:$AB$41=AD250)*Tavoli!$A$2:$A$41))))</f>
        <v/>
      </c>
    </row>
    <row r="251">
      <c r="A251" s="7" t="n"/>
      <c r="B251" s="7" t="n"/>
      <c r="C251" s="7" t="n"/>
      <c r="D251" s="7" t="n"/>
      <c r="E251" s="7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7" t="n"/>
      <c r="AC251" s="7" t="n"/>
      <c r="AD251" s="9">
        <f>IF(OR(A251&lt;&gt;"",B251&lt;&gt;""),TRIM(A251&amp;" "&amp;B251),"")</f>
        <v/>
      </c>
      <c r="AE251" s="9">
        <f>IF(AD251="","",IF(COUNTIF(Tavoli!$E$2:$AB$41,AD251)=0,"Da assegnare",IF(COUNTIF(Tavoli!$E$2:$AB$41,AD251)&gt;1,"DUPLICATO","Tavolo "&amp;SUMPRODUCT((Tavoli!$E$2:$AB$41=AD251)*Tavoli!$A$2:$A$41))))</f>
        <v/>
      </c>
    </row>
    <row r="252">
      <c r="A252" s="7" t="n"/>
      <c r="B252" s="7" t="n"/>
      <c r="C252" s="7" t="n"/>
      <c r="D252" s="7" t="n"/>
      <c r="E252" s="7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7" t="n"/>
      <c r="AC252" s="7" t="n"/>
      <c r="AD252" s="9">
        <f>IF(OR(A252&lt;&gt;"",B252&lt;&gt;""),TRIM(A252&amp;" "&amp;B252),"")</f>
        <v/>
      </c>
      <c r="AE252" s="9">
        <f>IF(AD252="","",IF(COUNTIF(Tavoli!$E$2:$AB$41,AD252)=0,"Da assegnare",IF(COUNTIF(Tavoli!$E$2:$AB$41,AD252)&gt;1,"DUPLICATO","Tavolo "&amp;SUMPRODUCT((Tavoli!$E$2:$AB$41=AD252)*Tavoli!$A$2:$A$41))))</f>
        <v/>
      </c>
    </row>
    <row r="253">
      <c r="A253" s="7" t="n"/>
      <c r="B253" s="7" t="n"/>
      <c r="C253" s="7" t="n"/>
      <c r="D253" s="7" t="n"/>
      <c r="E253" s="7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7" t="n"/>
      <c r="AC253" s="7" t="n"/>
      <c r="AD253" s="9">
        <f>IF(OR(A253&lt;&gt;"",B253&lt;&gt;""),TRIM(A253&amp;" "&amp;B253),"")</f>
        <v/>
      </c>
      <c r="AE253" s="9">
        <f>IF(AD253="","",IF(COUNTIF(Tavoli!$E$2:$AB$41,AD253)=0,"Da assegnare",IF(COUNTIF(Tavoli!$E$2:$AB$41,AD253)&gt;1,"DUPLICATO","Tavolo "&amp;SUMPRODUCT((Tavoli!$E$2:$AB$41=AD253)*Tavoli!$A$2:$A$41))))</f>
        <v/>
      </c>
    </row>
    <row r="254">
      <c r="A254" s="7" t="n"/>
      <c r="B254" s="7" t="n"/>
      <c r="C254" s="7" t="n"/>
      <c r="D254" s="7" t="n"/>
      <c r="E254" s="7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7" t="n"/>
      <c r="AC254" s="7" t="n"/>
      <c r="AD254" s="9">
        <f>IF(OR(A254&lt;&gt;"",B254&lt;&gt;""),TRIM(A254&amp;" "&amp;B254),"")</f>
        <v/>
      </c>
      <c r="AE254" s="9">
        <f>IF(AD254="","",IF(COUNTIF(Tavoli!$E$2:$AB$41,AD254)=0,"Da assegnare",IF(COUNTIF(Tavoli!$E$2:$AB$41,AD254)&gt;1,"DUPLICATO","Tavolo "&amp;SUMPRODUCT((Tavoli!$E$2:$AB$41=AD254)*Tavoli!$A$2:$A$41))))</f>
        <v/>
      </c>
    </row>
    <row r="255">
      <c r="A255" s="7" t="n"/>
      <c r="B255" s="7" t="n"/>
      <c r="C255" s="7" t="n"/>
      <c r="D255" s="7" t="n"/>
      <c r="E255" s="7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7" t="n"/>
      <c r="AC255" s="7" t="n"/>
      <c r="AD255" s="9">
        <f>IF(OR(A255&lt;&gt;"",B255&lt;&gt;""),TRIM(A255&amp;" "&amp;B255),"")</f>
        <v/>
      </c>
      <c r="AE255" s="9">
        <f>IF(AD255="","",IF(COUNTIF(Tavoli!$E$2:$AB$41,AD255)=0,"Da assegnare",IF(COUNTIF(Tavoli!$E$2:$AB$41,AD255)&gt;1,"DUPLICATO","Tavolo "&amp;SUMPRODUCT((Tavoli!$E$2:$AB$41=AD255)*Tavoli!$A$2:$A$41))))</f>
        <v/>
      </c>
    </row>
    <row r="256">
      <c r="A256" s="7" t="n"/>
      <c r="B256" s="7" t="n"/>
      <c r="C256" s="7" t="n"/>
      <c r="D256" s="7" t="n"/>
      <c r="E256" s="7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7" t="n"/>
      <c r="AC256" s="7" t="n"/>
      <c r="AD256" s="9">
        <f>IF(OR(A256&lt;&gt;"",B256&lt;&gt;""),TRIM(A256&amp;" "&amp;B256),"")</f>
        <v/>
      </c>
      <c r="AE256" s="9">
        <f>IF(AD256="","",IF(COUNTIF(Tavoli!$E$2:$AB$41,AD256)=0,"Da assegnare",IF(COUNTIF(Tavoli!$E$2:$AB$41,AD256)&gt;1,"DUPLICATO","Tavolo "&amp;SUMPRODUCT((Tavoli!$E$2:$AB$41=AD256)*Tavoli!$A$2:$A$41))))</f>
        <v/>
      </c>
    </row>
    <row r="257">
      <c r="A257" s="7" t="n"/>
      <c r="B257" s="7" t="n"/>
      <c r="C257" s="7" t="n"/>
      <c r="D257" s="7" t="n"/>
      <c r="E257" s="7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7" t="n"/>
      <c r="AC257" s="7" t="n"/>
      <c r="AD257" s="9">
        <f>IF(OR(A257&lt;&gt;"",B257&lt;&gt;""),TRIM(A257&amp;" "&amp;B257),"")</f>
        <v/>
      </c>
      <c r="AE257" s="9">
        <f>IF(AD257="","",IF(COUNTIF(Tavoli!$E$2:$AB$41,AD257)=0,"Da assegnare",IF(COUNTIF(Tavoli!$E$2:$AB$41,AD257)&gt;1,"DUPLICATO","Tavolo "&amp;SUMPRODUCT((Tavoli!$E$2:$AB$41=AD257)*Tavoli!$A$2:$A$41))))</f>
        <v/>
      </c>
    </row>
    <row r="258">
      <c r="A258" s="7" t="n"/>
      <c r="B258" s="7" t="n"/>
      <c r="C258" s="7" t="n"/>
      <c r="D258" s="7" t="n"/>
      <c r="E258" s="7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7" t="n"/>
      <c r="AC258" s="7" t="n"/>
      <c r="AD258" s="9">
        <f>IF(OR(A258&lt;&gt;"",B258&lt;&gt;""),TRIM(A258&amp;" "&amp;B258),"")</f>
        <v/>
      </c>
      <c r="AE258" s="9">
        <f>IF(AD258="","",IF(COUNTIF(Tavoli!$E$2:$AB$41,AD258)=0,"Da assegnare",IF(COUNTIF(Tavoli!$E$2:$AB$41,AD258)&gt;1,"DUPLICATO","Tavolo "&amp;SUMPRODUCT((Tavoli!$E$2:$AB$41=AD258)*Tavoli!$A$2:$A$41))))</f>
        <v/>
      </c>
    </row>
    <row r="259">
      <c r="A259" s="7" t="n"/>
      <c r="B259" s="7" t="n"/>
      <c r="C259" s="7" t="n"/>
      <c r="D259" s="7" t="n"/>
      <c r="E259" s="7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7" t="n"/>
      <c r="AC259" s="7" t="n"/>
      <c r="AD259" s="9">
        <f>IF(OR(A259&lt;&gt;"",B259&lt;&gt;""),TRIM(A259&amp;" "&amp;B259),"")</f>
        <v/>
      </c>
      <c r="AE259" s="9">
        <f>IF(AD259="","",IF(COUNTIF(Tavoli!$E$2:$AB$41,AD259)=0,"Da assegnare",IF(COUNTIF(Tavoli!$E$2:$AB$41,AD259)&gt;1,"DUPLICATO","Tavolo "&amp;SUMPRODUCT((Tavoli!$E$2:$AB$41=AD259)*Tavoli!$A$2:$A$41))))</f>
        <v/>
      </c>
    </row>
    <row r="260">
      <c r="A260" s="7" t="n"/>
      <c r="B260" s="7" t="n"/>
      <c r="C260" s="7" t="n"/>
      <c r="D260" s="7" t="n"/>
      <c r="E260" s="7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7" t="n"/>
      <c r="AC260" s="7" t="n"/>
      <c r="AD260" s="9">
        <f>IF(OR(A260&lt;&gt;"",B260&lt;&gt;""),TRIM(A260&amp;" "&amp;B260),"")</f>
        <v/>
      </c>
      <c r="AE260" s="9">
        <f>IF(AD260="","",IF(COUNTIF(Tavoli!$E$2:$AB$41,AD260)=0,"Da assegnare",IF(COUNTIF(Tavoli!$E$2:$AB$41,AD260)&gt;1,"DUPLICATO","Tavolo "&amp;SUMPRODUCT((Tavoli!$E$2:$AB$41=AD260)*Tavoli!$A$2:$A$41))))</f>
        <v/>
      </c>
    </row>
    <row r="261">
      <c r="A261" s="7" t="n"/>
      <c r="B261" s="7" t="n"/>
      <c r="C261" s="7" t="n"/>
      <c r="D261" s="7" t="n"/>
      <c r="E261" s="7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7" t="n"/>
      <c r="AC261" s="7" t="n"/>
      <c r="AD261" s="9">
        <f>IF(OR(A261&lt;&gt;"",B261&lt;&gt;""),TRIM(A261&amp;" "&amp;B261),"")</f>
        <v/>
      </c>
      <c r="AE261" s="9">
        <f>IF(AD261="","",IF(COUNTIF(Tavoli!$E$2:$AB$41,AD261)=0,"Da assegnare",IF(COUNTIF(Tavoli!$E$2:$AB$41,AD261)&gt;1,"DUPLICATO","Tavolo "&amp;SUMPRODUCT((Tavoli!$E$2:$AB$41=AD261)*Tavoli!$A$2:$A$41))))</f>
        <v/>
      </c>
    </row>
    <row r="262">
      <c r="A262" s="7" t="n"/>
      <c r="B262" s="7" t="n"/>
      <c r="C262" s="7" t="n"/>
      <c r="D262" s="7" t="n"/>
      <c r="E262" s="7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7" t="n"/>
      <c r="AC262" s="7" t="n"/>
      <c r="AD262" s="9">
        <f>IF(OR(A262&lt;&gt;"",B262&lt;&gt;""),TRIM(A262&amp;" "&amp;B262),"")</f>
        <v/>
      </c>
      <c r="AE262" s="9">
        <f>IF(AD262="","",IF(COUNTIF(Tavoli!$E$2:$AB$41,AD262)=0,"Da assegnare",IF(COUNTIF(Tavoli!$E$2:$AB$41,AD262)&gt;1,"DUPLICATO","Tavolo "&amp;SUMPRODUCT((Tavoli!$E$2:$AB$41=AD262)*Tavoli!$A$2:$A$41))))</f>
        <v/>
      </c>
    </row>
    <row r="263">
      <c r="A263" s="7" t="n"/>
      <c r="B263" s="7" t="n"/>
      <c r="C263" s="7" t="n"/>
      <c r="D263" s="7" t="n"/>
      <c r="E263" s="7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7" t="n"/>
      <c r="AC263" s="7" t="n"/>
      <c r="AD263" s="9">
        <f>IF(OR(A263&lt;&gt;"",B263&lt;&gt;""),TRIM(A263&amp;" "&amp;B263),"")</f>
        <v/>
      </c>
      <c r="AE263" s="9">
        <f>IF(AD263="","",IF(COUNTIF(Tavoli!$E$2:$AB$41,AD263)=0,"Da assegnare",IF(COUNTIF(Tavoli!$E$2:$AB$41,AD263)&gt;1,"DUPLICATO","Tavolo "&amp;SUMPRODUCT((Tavoli!$E$2:$AB$41=AD263)*Tavoli!$A$2:$A$41))))</f>
        <v/>
      </c>
    </row>
    <row r="264">
      <c r="A264" s="7" t="n"/>
      <c r="B264" s="7" t="n"/>
      <c r="C264" s="7" t="n"/>
      <c r="D264" s="7" t="n"/>
      <c r="E264" s="7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7" t="n"/>
      <c r="AC264" s="7" t="n"/>
      <c r="AD264" s="9">
        <f>IF(OR(A264&lt;&gt;"",B264&lt;&gt;""),TRIM(A264&amp;" "&amp;B264),"")</f>
        <v/>
      </c>
      <c r="AE264" s="9">
        <f>IF(AD264="","",IF(COUNTIF(Tavoli!$E$2:$AB$41,AD264)=0,"Da assegnare",IF(COUNTIF(Tavoli!$E$2:$AB$41,AD264)&gt;1,"DUPLICATO","Tavolo "&amp;SUMPRODUCT((Tavoli!$E$2:$AB$41=AD264)*Tavoli!$A$2:$A$41))))</f>
        <v/>
      </c>
    </row>
    <row r="265">
      <c r="A265" s="7" t="n"/>
      <c r="B265" s="7" t="n"/>
      <c r="C265" s="7" t="n"/>
      <c r="D265" s="7" t="n"/>
      <c r="E265" s="7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7" t="n"/>
      <c r="AC265" s="7" t="n"/>
      <c r="AD265" s="9">
        <f>IF(OR(A265&lt;&gt;"",B265&lt;&gt;""),TRIM(A265&amp;" "&amp;B265),"")</f>
        <v/>
      </c>
      <c r="AE265" s="9">
        <f>IF(AD265="","",IF(COUNTIF(Tavoli!$E$2:$AB$41,AD265)=0,"Da assegnare",IF(COUNTIF(Tavoli!$E$2:$AB$41,AD265)&gt;1,"DUPLICATO","Tavolo "&amp;SUMPRODUCT((Tavoli!$E$2:$AB$41=AD265)*Tavoli!$A$2:$A$41))))</f>
        <v/>
      </c>
    </row>
    <row r="266">
      <c r="A266" s="7" t="n"/>
      <c r="B266" s="7" t="n"/>
      <c r="C266" s="7" t="n"/>
      <c r="D266" s="7" t="n"/>
      <c r="E266" s="7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7" t="n"/>
      <c r="AC266" s="7" t="n"/>
      <c r="AD266" s="9">
        <f>IF(OR(A266&lt;&gt;"",B266&lt;&gt;""),TRIM(A266&amp;" "&amp;B266),"")</f>
        <v/>
      </c>
      <c r="AE266" s="9">
        <f>IF(AD266="","",IF(COUNTIF(Tavoli!$E$2:$AB$41,AD266)=0,"Da assegnare",IF(COUNTIF(Tavoli!$E$2:$AB$41,AD266)&gt;1,"DUPLICATO","Tavolo "&amp;SUMPRODUCT((Tavoli!$E$2:$AB$41=AD266)*Tavoli!$A$2:$A$41))))</f>
        <v/>
      </c>
    </row>
    <row r="267">
      <c r="A267" s="7" t="n"/>
      <c r="B267" s="7" t="n"/>
      <c r="C267" s="7" t="n"/>
      <c r="D267" s="7" t="n"/>
      <c r="E267" s="7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7" t="n"/>
      <c r="AC267" s="7" t="n"/>
      <c r="AD267" s="9">
        <f>IF(OR(A267&lt;&gt;"",B267&lt;&gt;""),TRIM(A267&amp;" "&amp;B267),"")</f>
        <v/>
      </c>
      <c r="AE267" s="9">
        <f>IF(AD267="","",IF(COUNTIF(Tavoli!$E$2:$AB$41,AD267)=0,"Da assegnare",IF(COUNTIF(Tavoli!$E$2:$AB$41,AD267)&gt;1,"DUPLICATO","Tavolo "&amp;SUMPRODUCT((Tavoli!$E$2:$AB$41=AD267)*Tavoli!$A$2:$A$41))))</f>
        <v/>
      </c>
    </row>
    <row r="268">
      <c r="A268" s="7" t="n"/>
      <c r="B268" s="7" t="n"/>
      <c r="C268" s="7" t="n"/>
      <c r="D268" s="7" t="n"/>
      <c r="E268" s="7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7" t="n"/>
      <c r="AC268" s="7" t="n"/>
      <c r="AD268" s="9">
        <f>IF(OR(A268&lt;&gt;"",B268&lt;&gt;""),TRIM(A268&amp;" "&amp;B268),"")</f>
        <v/>
      </c>
      <c r="AE268" s="9">
        <f>IF(AD268="","",IF(COUNTIF(Tavoli!$E$2:$AB$41,AD268)=0,"Da assegnare",IF(COUNTIF(Tavoli!$E$2:$AB$41,AD268)&gt;1,"DUPLICATO","Tavolo "&amp;SUMPRODUCT((Tavoli!$E$2:$AB$41=AD268)*Tavoli!$A$2:$A$41))))</f>
        <v/>
      </c>
    </row>
    <row r="269">
      <c r="A269" s="7" t="n"/>
      <c r="B269" s="7" t="n"/>
      <c r="C269" s="7" t="n"/>
      <c r="D269" s="7" t="n"/>
      <c r="E269" s="7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7" t="n"/>
      <c r="AC269" s="7" t="n"/>
      <c r="AD269" s="9">
        <f>IF(OR(A269&lt;&gt;"",B269&lt;&gt;""),TRIM(A269&amp;" "&amp;B269),"")</f>
        <v/>
      </c>
      <c r="AE269" s="9">
        <f>IF(AD269="","",IF(COUNTIF(Tavoli!$E$2:$AB$41,AD269)=0,"Da assegnare",IF(COUNTIF(Tavoli!$E$2:$AB$41,AD269)&gt;1,"DUPLICATO","Tavolo "&amp;SUMPRODUCT((Tavoli!$E$2:$AB$41=AD269)*Tavoli!$A$2:$A$41))))</f>
        <v/>
      </c>
    </row>
    <row r="270">
      <c r="A270" s="7" t="n"/>
      <c r="B270" s="7" t="n"/>
      <c r="C270" s="7" t="n"/>
      <c r="D270" s="7" t="n"/>
      <c r="E270" s="7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7" t="n"/>
      <c r="AC270" s="7" t="n"/>
      <c r="AD270" s="9">
        <f>IF(OR(A270&lt;&gt;"",B270&lt;&gt;""),TRIM(A270&amp;" "&amp;B270),"")</f>
        <v/>
      </c>
      <c r="AE270" s="9">
        <f>IF(AD270="","",IF(COUNTIF(Tavoli!$E$2:$AB$41,AD270)=0,"Da assegnare",IF(COUNTIF(Tavoli!$E$2:$AB$41,AD270)&gt;1,"DUPLICATO","Tavolo "&amp;SUMPRODUCT((Tavoli!$E$2:$AB$41=AD270)*Tavoli!$A$2:$A$41))))</f>
        <v/>
      </c>
    </row>
    <row r="271">
      <c r="A271" s="7" t="n"/>
      <c r="B271" s="7" t="n"/>
      <c r="C271" s="7" t="n"/>
      <c r="D271" s="7" t="n"/>
      <c r="E271" s="7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7" t="n"/>
      <c r="AC271" s="7" t="n"/>
      <c r="AD271" s="9">
        <f>IF(OR(A271&lt;&gt;"",B271&lt;&gt;""),TRIM(A271&amp;" "&amp;B271),"")</f>
        <v/>
      </c>
      <c r="AE271" s="9">
        <f>IF(AD271="","",IF(COUNTIF(Tavoli!$E$2:$AB$41,AD271)=0,"Da assegnare",IF(COUNTIF(Tavoli!$E$2:$AB$41,AD271)&gt;1,"DUPLICATO","Tavolo "&amp;SUMPRODUCT((Tavoli!$E$2:$AB$41=AD271)*Tavoli!$A$2:$A$41))))</f>
        <v/>
      </c>
    </row>
    <row r="272">
      <c r="A272" s="7" t="n"/>
      <c r="B272" s="7" t="n"/>
      <c r="C272" s="7" t="n"/>
      <c r="D272" s="7" t="n"/>
      <c r="E272" s="7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7" t="n"/>
      <c r="AC272" s="7" t="n"/>
      <c r="AD272" s="9">
        <f>IF(OR(A272&lt;&gt;"",B272&lt;&gt;""),TRIM(A272&amp;" "&amp;B272),"")</f>
        <v/>
      </c>
      <c r="AE272" s="9">
        <f>IF(AD272="","",IF(COUNTIF(Tavoli!$E$2:$AB$41,AD272)=0,"Da assegnare",IF(COUNTIF(Tavoli!$E$2:$AB$41,AD272)&gt;1,"DUPLICATO","Tavolo "&amp;SUMPRODUCT((Tavoli!$E$2:$AB$41=AD272)*Tavoli!$A$2:$A$41))))</f>
        <v/>
      </c>
    </row>
    <row r="273">
      <c r="A273" s="7" t="n"/>
      <c r="B273" s="7" t="n"/>
      <c r="C273" s="7" t="n"/>
      <c r="D273" s="7" t="n"/>
      <c r="E273" s="7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7" t="n"/>
      <c r="AC273" s="7" t="n"/>
      <c r="AD273" s="9">
        <f>IF(OR(A273&lt;&gt;"",B273&lt;&gt;""),TRIM(A273&amp;" "&amp;B273),"")</f>
        <v/>
      </c>
      <c r="AE273" s="9">
        <f>IF(AD273="","",IF(COUNTIF(Tavoli!$E$2:$AB$41,AD273)=0,"Da assegnare",IF(COUNTIF(Tavoli!$E$2:$AB$41,AD273)&gt;1,"DUPLICATO","Tavolo "&amp;SUMPRODUCT((Tavoli!$E$2:$AB$41=AD273)*Tavoli!$A$2:$A$41))))</f>
        <v/>
      </c>
    </row>
    <row r="274">
      <c r="A274" s="7" t="n"/>
      <c r="B274" s="7" t="n"/>
      <c r="C274" s="7" t="n"/>
      <c r="D274" s="7" t="n"/>
      <c r="E274" s="7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7" t="n"/>
      <c r="AC274" s="7" t="n"/>
      <c r="AD274" s="9">
        <f>IF(OR(A274&lt;&gt;"",B274&lt;&gt;""),TRIM(A274&amp;" "&amp;B274),"")</f>
        <v/>
      </c>
      <c r="AE274" s="9">
        <f>IF(AD274="","",IF(COUNTIF(Tavoli!$E$2:$AB$41,AD274)=0,"Da assegnare",IF(COUNTIF(Tavoli!$E$2:$AB$41,AD274)&gt;1,"DUPLICATO","Tavolo "&amp;SUMPRODUCT((Tavoli!$E$2:$AB$41=AD274)*Tavoli!$A$2:$A$41))))</f>
        <v/>
      </c>
    </row>
    <row r="275">
      <c r="A275" s="7" t="n"/>
      <c r="B275" s="7" t="n"/>
      <c r="C275" s="7" t="n"/>
      <c r="D275" s="7" t="n"/>
      <c r="E275" s="7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7" t="n"/>
      <c r="AC275" s="7" t="n"/>
      <c r="AD275" s="9">
        <f>IF(OR(A275&lt;&gt;"",B275&lt;&gt;""),TRIM(A275&amp;" "&amp;B275),"")</f>
        <v/>
      </c>
      <c r="AE275" s="9">
        <f>IF(AD275="","",IF(COUNTIF(Tavoli!$E$2:$AB$41,AD275)=0,"Da assegnare",IF(COUNTIF(Tavoli!$E$2:$AB$41,AD275)&gt;1,"DUPLICATO","Tavolo "&amp;SUMPRODUCT((Tavoli!$E$2:$AB$41=AD275)*Tavoli!$A$2:$A$41))))</f>
        <v/>
      </c>
    </row>
    <row r="276">
      <c r="A276" s="7" t="n"/>
      <c r="B276" s="7" t="n"/>
      <c r="C276" s="7" t="n"/>
      <c r="D276" s="7" t="n"/>
      <c r="E276" s="7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7" t="n"/>
      <c r="AC276" s="7" t="n"/>
      <c r="AD276" s="9">
        <f>IF(OR(A276&lt;&gt;"",B276&lt;&gt;""),TRIM(A276&amp;" "&amp;B276),"")</f>
        <v/>
      </c>
      <c r="AE276" s="9">
        <f>IF(AD276="","",IF(COUNTIF(Tavoli!$E$2:$AB$41,AD276)=0,"Da assegnare",IF(COUNTIF(Tavoli!$E$2:$AB$41,AD276)&gt;1,"DUPLICATO","Tavolo "&amp;SUMPRODUCT((Tavoli!$E$2:$AB$41=AD276)*Tavoli!$A$2:$A$41))))</f>
        <v/>
      </c>
    </row>
    <row r="277">
      <c r="A277" s="7" t="n"/>
      <c r="B277" s="7" t="n"/>
      <c r="C277" s="7" t="n"/>
      <c r="D277" s="7" t="n"/>
      <c r="E277" s="7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7" t="n"/>
      <c r="AC277" s="7" t="n"/>
      <c r="AD277" s="9">
        <f>IF(OR(A277&lt;&gt;"",B277&lt;&gt;""),TRIM(A277&amp;" "&amp;B277),"")</f>
        <v/>
      </c>
      <c r="AE277" s="9">
        <f>IF(AD277="","",IF(COUNTIF(Tavoli!$E$2:$AB$41,AD277)=0,"Da assegnare",IF(COUNTIF(Tavoli!$E$2:$AB$41,AD277)&gt;1,"DUPLICATO","Tavolo "&amp;SUMPRODUCT((Tavoli!$E$2:$AB$41=AD277)*Tavoli!$A$2:$A$41))))</f>
        <v/>
      </c>
    </row>
    <row r="278">
      <c r="A278" s="7" t="n"/>
      <c r="B278" s="7" t="n"/>
      <c r="C278" s="7" t="n"/>
      <c r="D278" s="7" t="n"/>
      <c r="E278" s="7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7" t="n"/>
      <c r="AC278" s="7" t="n"/>
      <c r="AD278" s="9">
        <f>IF(OR(A278&lt;&gt;"",B278&lt;&gt;""),TRIM(A278&amp;" "&amp;B278),"")</f>
        <v/>
      </c>
      <c r="AE278" s="9">
        <f>IF(AD278="","",IF(COUNTIF(Tavoli!$E$2:$AB$41,AD278)=0,"Da assegnare",IF(COUNTIF(Tavoli!$E$2:$AB$41,AD278)&gt;1,"DUPLICATO","Tavolo "&amp;SUMPRODUCT((Tavoli!$E$2:$AB$41=AD278)*Tavoli!$A$2:$A$41))))</f>
        <v/>
      </c>
    </row>
    <row r="279">
      <c r="A279" s="7" t="n"/>
      <c r="B279" s="7" t="n"/>
      <c r="C279" s="7" t="n"/>
      <c r="D279" s="7" t="n"/>
      <c r="E279" s="7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7" t="n"/>
      <c r="AC279" s="7" t="n"/>
      <c r="AD279" s="9">
        <f>IF(OR(A279&lt;&gt;"",B279&lt;&gt;""),TRIM(A279&amp;" "&amp;B279),"")</f>
        <v/>
      </c>
      <c r="AE279" s="9">
        <f>IF(AD279="","",IF(COUNTIF(Tavoli!$E$2:$AB$41,AD279)=0,"Da assegnare",IF(COUNTIF(Tavoli!$E$2:$AB$41,AD279)&gt;1,"DUPLICATO","Tavolo "&amp;SUMPRODUCT((Tavoli!$E$2:$AB$41=AD279)*Tavoli!$A$2:$A$41))))</f>
        <v/>
      </c>
    </row>
    <row r="280">
      <c r="A280" s="7" t="n"/>
      <c r="B280" s="7" t="n"/>
      <c r="C280" s="7" t="n"/>
      <c r="D280" s="7" t="n"/>
      <c r="E280" s="7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7" t="n"/>
      <c r="AC280" s="7" t="n"/>
      <c r="AD280" s="9">
        <f>IF(OR(A280&lt;&gt;"",B280&lt;&gt;""),TRIM(A280&amp;" "&amp;B280),"")</f>
        <v/>
      </c>
      <c r="AE280" s="9">
        <f>IF(AD280="","",IF(COUNTIF(Tavoli!$E$2:$AB$41,AD280)=0,"Da assegnare",IF(COUNTIF(Tavoli!$E$2:$AB$41,AD280)&gt;1,"DUPLICATO","Tavolo "&amp;SUMPRODUCT((Tavoli!$E$2:$AB$41=AD280)*Tavoli!$A$2:$A$41))))</f>
        <v/>
      </c>
    </row>
    <row r="281">
      <c r="A281" s="7" t="n"/>
      <c r="B281" s="7" t="n"/>
      <c r="C281" s="7" t="n"/>
      <c r="D281" s="7" t="n"/>
      <c r="E281" s="7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7" t="n"/>
      <c r="AC281" s="7" t="n"/>
      <c r="AD281" s="9">
        <f>IF(OR(A281&lt;&gt;"",B281&lt;&gt;""),TRIM(A281&amp;" "&amp;B281),"")</f>
        <v/>
      </c>
      <c r="AE281" s="9">
        <f>IF(AD281="","",IF(COUNTIF(Tavoli!$E$2:$AB$41,AD281)=0,"Da assegnare",IF(COUNTIF(Tavoli!$E$2:$AB$41,AD281)&gt;1,"DUPLICATO","Tavolo "&amp;SUMPRODUCT((Tavoli!$E$2:$AB$41=AD281)*Tavoli!$A$2:$A$41))))</f>
        <v/>
      </c>
    </row>
    <row r="282">
      <c r="A282" s="7" t="n"/>
      <c r="B282" s="7" t="n"/>
      <c r="C282" s="7" t="n"/>
      <c r="D282" s="7" t="n"/>
      <c r="E282" s="7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7" t="n"/>
      <c r="AC282" s="7" t="n"/>
      <c r="AD282" s="9">
        <f>IF(OR(A282&lt;&gt;"",B282&lt;&gt;""),TRIM(A282&amp;" "&amp;B282),"")</f>
        <v/>
      </c>
      <c r="AE282" s="9">
        <f>IF(AD282="","",IF(COUNTIF(Tavoli!$E$2:$AB$41,AD282)=0,"Da assegnare",IF(COUNTIF(Tavoli!$E$2:$AB$41,AD282)&gt;1,"DUPLICATO","Tavolo "&amp;SUMPRODUCT((Tavoli!$E$2:$AB$41=AD282)*Tavoli!$A$2:$A$41))))</f>
        <v/>
      </c>
    </row>
    <row r="283">
      <c r="A283" s="7" t="n"/>
      <c r="B283" s="7" t="n"/>
      <c r="C283" s="7" t="n"/>
      <c r="D283" s="7" t="n"/>
      <c r="E283" s="7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7" t="n"/>
      <c r="AC283" s="7" t="n"/>
      <c r="AD283" s="9">
        <f>IF(OR(A283&lt;&gt;"",B283&lt;&gt;""),TRIM(A283&amp;" "&amp;B283),"")</f>
        <v/>
      </c>
      <c r="AE283" s="9">
        <f>IF(AD283="","",IF(COUNTIF(Tavoli!$E$2:$AB$41,AD283)=0,"Da assegnare",IF(COUNTIF(Tavoli!$E$2:$AB$41,AD283)&gt;1,"DUPLICATO","Tavolo "&amp;SUMPRODUCT((Tavoli!$E$2:$AB$41=AD283)*Tavoli!$A$2:$A$41))))</f>
        <v/>
      </c>
    </row>
    <row r="284">
      <c r="A284" s="7" t="n"/>
      <c r="B284" s="7" t="n"/>
      <c r="C284" s="7" t="n"/>
      <c r="D284" s="7" t="n"/>
      <c r="E284" s="7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7" t="n"/>
      <c r="AC284" s="7" t="n"/>
      <c r="AD284" s="9">
        <f>IF(OR(A284&lt;&gt;"",B284&lt;&gt;""),TRIM(A284&amp;" "&amp;B284),"")</f>
        <v/>
      </c>
      <c r="AE284" s="9">
        <f>IF(AD284="","",IF(COUNTIF(Tavoli!$E$2:$AB$41,AD284)=0,"Da assegnare",IF(COUNTIF(Tavoli!$E$2:$AB$41,AD284)&gt;1,"DUPLICATO","Tavolo "&amp;SUMPRODUCT((Tavoli!$E$2:$AB$41=AD284)*Tavoli!$A$2:$A$41))))</f>
        <v/>
      </c>
    </row>
    <row r="285">
      <c r="A285" s="7" t="n"/>
      <c r="B285" s="7" t="n"/>
      <c r="C285" s="7" t="n"/>
      <c r="D285" s="7" t="n"/>
      <c r="E285" s="7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7" t="n"/>
      <c r="AC285" s="7" t="n"/>
      <c r="AD285" s="9">
        <f>IF(OR(A285&lt;&gt;"",B285&lt;&gt;""),TRIM(A285&amp;" "&amp;B285),"")</f>
        <v/>
      </c>
      <c r="AE285" s="9">
        <f>IF(AD285="","",IF(COUNTIF(Tavoli!$E$2:$AB$41,AD285)=0,"Da assegnare",IF(COUNTIF(Tavoli!$E$2:$AB$41,AD285)&gt;1,"DUPLICATO","Tavolo "&amp;SUMPRODUCT((Tavoli!$E$2:$AB$41=AD285)*Tavoli!$A$2:$A$41))))</f>
        <v/>
      </c>
    </row>
    <row r="286">
      <c r="A286" s="7" t="n"/>
      <c r="B286" s="7" t="n"/>
      <c r="C286" s="7" t="n"/>
      <c r="D286" s="7" t="n"/>
      <c r="E286" s="7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7" t="n"/>
      <c r="AC286" s="7" t="n"/>
      <c r="AD286" s="9">
        <f>IF(OR(A286&lt;&gt;"",B286&lt;&gt;""),TRIM(A286&amp;" "&amp;B286),"")</f>
        <v/>
      </c>
      <c r="AE286" s="9">
        <f>IF(AD286="","",IF(COUNTIF(Tavoli!$E$2:$AB$41,AD286)=0,"Da assegnare",IF(COUNTIF(Tavoli!$E$2:$AB$41,AD286)&gt;1,"DUPLICATO","Tavolo "&amp;SUMPRODUCT((Tavoli!$E$2:$AB$41=AD286)*Tavoli!$A$2:$A$41))))</f>
        <v/>
      </c>
    </row>
    <row r="287">
      <c r="A287" s="7" t="n"/>
      <c r="B287" s="7" t="n"/>
      <c r="C287" s="7" t="n"/>
      <c r="D287" s="7" t="n"/>
      <c r="E287" s="7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7" t="n"/>
      <c r="AC287" s="7" t="n"/>
      <c r="AD287" s="9">
        <f>IF(OR(A287&lt;&gt;"",B287&lt;&gt;""),TRIM(A287&amp;" "&amp;B287),"")</f>
        <v/>
      </c>
      <c r="AE287" s="9">
        <f>IF(AD287="","",IF(COUNTIF(Tavoli!$E$2:$AB$41,AD287)=0,"Da assegnare",IF(COUNTIF(Tavoli!$E$2:$AB$41,AD287)&gt;1,"DUPLICATO","Tavolo "&amp;SUMPRODUCT((Tavoli!$E$2:$AB$41=AD287)*Tavoli!$A$2:$A$41))))</f>
        <v/>
      </c>
    </row>
    <row r="288">
      <c r="A288" s="7" t="n"/>
      <c r="B288" s="7" t="n"/>
      <c r="C288" s="7" t="n"/>
      <c r="D288" s="7" t="n"/>
      <c r="E288" s="7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7" t="n"/>
      <c r="AC288" s="7" t="n"/>
      <c r="AD288" s="9">
        <f>IF(OR(A288&lt;&gt;"",B288&lt;&gt;""),TRIM(A288&amp;" "&amp;B288),"")</f>
        <v/>
      </c>
      <c r="AE288" s="9">
        <f>IF(AD288="","",IF(COUNTIF(Tavoli!$E$2:$AB$41,AD288)=0,"Da assegnare",IF(COUNTIF(Tavoli!$E$2:$AB$41,AD288)&gt;1,"DUPLICATO","Tavolo "&amp;SUMPRODUCT((Tavoli!$E$2:$AB$41=AD288)*Tavoli!$A$2:$A$41))))</f>
        <v/>
      </c>
    </row>
    <row r="289">
      <c r="A289" s="7" t="n"/>
      <c r="B289" s="7" t="n"/>
      <c r="C289" s="7" t="n"/>
      <c r="D289" s="7" t="n"/>
      <c r="E289" s="7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7" t="n"/>
      <c r="AC289" s="7" t="n"/>
      <c r="AD289" s="9">
        <f>IF(OR(A289&lt;&gt;"",B289&lt;&gt;""),TRIM(A289&amp;" "&amp;B289),"")</f>
        <v/>
      </c>
      <c r="AE289" s="9">
        <f>IF(AD289="","",IF(COUNTIF(Tavoli!$E$2:$AB$41,AD289)=0,"Da assegnare",IF(COUNTIF(Tavoli!$E$2:$AB$41,AD289)&gt;1,"DUPLICATO","Tavolo "&amp;SUMPRODUCT((Tavoli!$E$2:$AB$41=AD289)*Tavoli!$A$2:$A$41))))</f>
        <v/>
      </c>
    </row>
    <row r="290">
      <c r="A290" s="7" t="n"/>
      <c r="B290" s="7" t="n"/>
      <c r="C290" s="7" t="n"/>
      <c r="D290" s="7" t="n"/>
      <c r="E290" s="7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7" t="n"/>
      <c r="AC290" s="7" t="n"/>
      <c r="AD290" s="9">
        <f>IF(OR(A290&lt;&gt;"",B290&lt;&gt;""),TRIM(A290&amp;" "&amp;B290),"")</f>
        <v/>
      </c>
      <c r="AE290" s="9">
        <f>IF(AD290="","",IF(COUNTIF(Tavoli!$E$2:$AB$41,AD290)=0,"Da assegnare",IF(COUNTIF(Tavoli!$E$2:$AB$41,AD290)&gt;1,"DUPLICATO","Tavolo "&amp;SUMPRODUCT((Tavoli!$E$2:$AB$41=AD290)*Tavoli!$A$2:$A$41))))</f>
        <v/>
      </c>
    </row>
    <row r="291">
      <c r="A291" s="7" t="n"/>
      <c r="B291" s="7" t="n"/>
      <c r="C291" s="7" t="n"/>
      <c r="D291" s="7" t="n"/>
      <c r="E291" s="7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7" t="n"/>
      <c r="AC291" s="7" t="n"/>
      <c r="AD291" s="9">
        <f>IF(OR(A291&lt;&gt;"",B291&lt;&gt;""),TRIM(A291&amp;" "&amp;B291),"")</f>
        <v/>
      </c>
      <c r="AE291" s="9">
        <f>IF(AD291="","",IF(COUNTIF(Tavoli!$E$2:$AB$41,AD291)=0,"Da assegnare",IF(COUNTIF(Tavoli!$E$2:$AB$41,AD291)&gt;1,"DUPLICATO","Tavolo "&amp;SUMPRODUCT((Tavoli!$E$2:$AB$41=AD291)*Tavoli!$A$2:$A$41))))</f>
        <v/>
      </c>
    </row>
    <row r="292">
      <c r="A292" s="7" t="n"/>
      <c r="B292" s="7" t="n"/>
      <c r="C292" s="7" t="n"/>
      <c r="D292" s="7" t="n"/>
      <c r="E292" s="7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7" t="n"/>
      <c r="AC292" s="7" t="n"/>
      <c r="AD292" s="9">
        <f>IF(OR(A292&lt;&gt;"",B292&lt;&gt;""),TRIM(A292&amp;" "&amp;B292),"")</f>
        <v/>
      </c>
      <c r="AE292" s="9">
        <f>IF(AD292="","",IF(COUNTIF(Tavoli!$E$2:$AB$41,AD292)=0,"Da assegnare",IF(COUNTIF(Tavoli!$E$2:$AB$41,AD292)&gt;1,"DUPLICATO","Tavolo "&amp;SUMPRODUCT((Tavoli!$E$2:$AB$41=AD292)*Tavoli!$A$2:$A$41))))</f>
        <v/>
      </c>
    </row>
    <row r="293">
      <c r="A293" s="7" t="n"/>
      <c r="B293" s="7" t="n"/>
      <c r="C293" s="7" t="n"/>
      <c r="D293" s="7" t="n"/>
      <c r="E293" s="7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7" t="n"/>
      <c r="AC293" s="7" t="n"/>
      <c r="AD293" s="9">
        <f>IF(OR(A293&lt;&gt;"",B293&lt;&gt;""),TRIM(A293&amp;" "&amp;B293),"")</f>
        <v/>
      </c>
      <c r="AE293" s="9">
        <f>IF(AD293="","",IF(COUNTIF(Tavoli!$E$2:$AB$41,AD293)=0,"Da assegnare",IF(COUNTIF(Tavoli!$E$2:$AB$41,AD293)&gt;1,"DUPLICATO","Tavolo "&amp;SUMPRODUCT((Tavoli!$E$2:$AB$41=AD293)*Tavoli!$A$2:$A$41))))</f>
        <v/>
      </c>
    </row>
    <row r="294">
      <c r="A294" s="7" t="n"/>
      <c r="B294" s="7" t="n"/>
      <c r="C294" s="7" t="n"/>
      <c r="D294" s="7" t="n"/>
      <c r="E294" s="7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7" t="n"/>
      <c r="AC294" s="7" t="n"/>
      <c r="AD294" s="9">
        <f>IF(OR(A294&lt;&gt;"",B294&lt;&gt;""),TRIM(A294&amp;" "&amp;B294),"")</f>
        <v/>
      </c>
      <c r="AE294" s="9">
        <f>IF(AD294="","",IF(COUNTIF(Tavoli!$E$2:$AB$41,AD294)=0,"Da assegnare",IF(COUNTIF(Tavoli!$E$2:$AB$41,AD294)&gt;1,"DUPLICATO","Tavolo "&amp;SUMPRODUCT((Tavoli!$E$2:$AB$41=AD294)*Tavoli!$A$2:$A$41))))</f>
        <v/>
      </c>
    </row>
    <row r="295">
      <c r="A295" s="7" t="n"/>
      <c r="B295" s="7" t="n"/>
      <c r="C295" s="7" t="n"/>
      <c r="D295" s="7" t="n"/>
      <c r="E295" s="7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7" t="n"/>
      <c r="AC295" s="7" t="n"/>
      <c r="AD295" s="9">
        <f>IF(OR(A295&lt;&gt;"",B295&lt;&gt;""),TRIM(A295&amp;" "&amp;B295),"")</f>
        <v/>
      </c>
      <c r="AE295" s="9">
        <f>IF(AD295="","",IF(COUNTIF(Tavoli!$E$2:$AB$41,AD295)=0,"Da assegnare",IF(COUNTIF(Tavoli!$E$2:$AB$41,AD295)&gt;1,"DUPLICATO","Tavolo "&amp;SUMPRODUCT((Tavoli!$E$2:$AB$41=AD295)*Tavoli!$A$2:$A$41))))</f>
        <v/>
      </c>
    </row>
    <row r="296">
      <c r="A296" s="7" t="n"/>
      <c r="B296" s="7" t="n"/>
      <c r="C296" s="7" t="n"/>
      <c r="D296" s="7" t="n"/>
      <c r="E296" s="7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7" t="n"/>
      <c r="AC296" s="7" t="n"/>
      <c r="AD296" s="9">
        <f>IF(OR(A296&lt;&gt;"",B296&lt;&gt;""),TRIM(A296&amp;" "&amp;B296),"")</f>
        <v/>
      </c>
      <c r="AE296" s="9">
        <f>IF(AD296="","",IF(COUNTIF(Tavoli!$E$2:$AB$41,AD296)=0,"Da assegnare",IF(COUNTIF(Tavoli!$E$2:$AB$41,AD296)&gt;1,"DUPLICATO","Tavolo "&amp;SUMPRODUCT((Tavoli!$E$2:$AB$41=AD296)*Tavoli!$A$2:$A$41))))</f>
        <v/>
      </c>
    </row>
    <row r="297">
      <c r="A297" s="7" t="n"/>
      <c r="B297" s="7" t="n"/>
      <c r="C297" s="7" t="n"/>
      <c r="D297" s="7" t="n"/>
      <c r="E297" s="7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7" t="n"/>
      <c r="AC297" s="7" t="n"/>
      <c r="AD297" s="9">
        <f>IF(OR(A297&lt;&gt;"",B297&lt;&gt;""),TRIM(A297&amp;" "&amp;B297),"")</f>
        <v/>
      </c>
      <c r="AE297" s="9">
        <f>IF(AD297="","",IF(COUNTIF(Tavoli!$E$2:$AB$41,AD297)=0,"Da assegnare",IF(COUNTIF(Tavoli!$E$2:$AB$41,AD297)&gt;1,"DUPLICATO","Tavolo "&amp;SUMPRODUCT((Tavoli!$E$2:$AB$41=AD297)*Tavoli!$A$2:$A$41))))</f>
        <v/>
      </c>
    </row>
    <row r="298">
      <c r="A298" s="7" t="n"/>
      <c r="B298" s="7" t="n"/>
      <c r="C298" s="7" t="n"/>
      <c r="D298" s="7" t="n"/>
      <c r="E298" s="7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7" t="n"/>
      <c r="AC298" s="7" t="n"/>
      <c r="AD298" s="9">
        <f>IF(OR(A298&lt;&gt;"",B298&lt;&gt;""),TRIM(A298&amp;" "&amp;B298),"")</f>
        <v/>
      </c>
      <c r="AE298" s="9">
        <f>IF(AD298="","",IF(COUNTIF(Tavoli!$E$2:$AB$41,AD298)=0,"Da assegnare",IF(COUNTIF(Tavoli!$E$2:$AB$41,AD298)&gt;1,"DUPLICATO","Tavolo "&amp;SUMPRODUCT((Tavoli!$E$2:$AB$41=AD298)*Tavoli!$A$2:$A$41))))</f>
        <v/>
      </c>
    </row>
    <row r="299">
      <c r="A299" s="7" t="n"/>
      <c r="B299" s="7" t="n"/>
      <c r="C299" s="7" t="n"/>
      <c r="D299" s="7" t="n"/>
      <c r="E299" s="7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7" t="n"/>
      <c r="AC299" s="7" t="n"/>
      <c r="AD299" s="9">
        <f>IF(OR(A299&lt;&gt;"",B299&lt;&gt;""),TRIM(A299&amp;" "&amp;B299),"")</f>
        <v/>
      </c>
      <c r="AE299" s="9">
        <f>IF(AD299="","",IF(COUNTIF(Tavoli!$E$2:$AB$41,AD299)=0,"Da assegnare",IF(COUNTIF(Tavoli!$E$2:$AB$41,AD299)&gt;1,"DUPLICATO","Tavolo "&amp;SUMPRODUCT((Tavoli!$E$2:$AB$41=AD299)*Tavoli!$A$2:$A$41))))</f>
        <v/>
      </c>
    </row>
    <row r="300">
      <c r="A300" s="7" t="n"/>
      <c r="B300" s="7" t="n"/>
      <c r="C300" s="7" t="n"/>
      <c r="D300" s="7" t="n"/>
      <c r="E300" s="7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7" t="n"/>
      <c r="AC300" s="7" t="n"/>
      <c r="AD300" s="9">
        <f>IF(OR(A300&lt;&gt;"",B300&lt;&gt;""),TRIM(A300&amp;" "&amp;B300),"")</f>
        <v/>
      </c>
      <c r="AE300" s="9">
        <f>IF(AD300="","",IF(COUNTIF(Tavoli!$E$2:$AB$41,AD300)=0,"Da assegnare",IF(COUNTIF(Tavoli!$E$2:$AB$41,AD300)&gt;1,"DUPLICATO","Tavolo "&amp;SUMPRODUCT((Tavoli!$E$2:$AB$41=AD300)*Tavoli!$A$2:$A$41))))</f>
        <v/>
      </c>
    </row>
    <row r="301">
      <c r="A301" s="7" t="n"/>
      <c r="B301" s="7" t="n"/>
      <c r="C301" s="7" t="n"/>
      <c r="D301" s="7" t="n"/>
      <c r="E301" s="7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7" t="n"/>
      <c r="AC301" s="7" t="n"/>
      <c r="AD301" s="9">
        <f>IF(OR(A301&lt;&gt;"",B301&lt;&gt;""),TRIM(A301&amp;" "&amp;B301),"")</f>
        <v/>
      </c>
      <c r="AE301" s="9">
        <f>IF(AD301="","",IF(COUNTIF(Tavoli!$E$2:$AB$41,AD301)=0,"Da assegnare",IF(COUNTIF(Tavoli!$E$2:$AB$41,AD301)&gt;1,"DUPLICATO","Tavolo "&amp;SUMPRODUCT((Tavoli!$E$2:$AB$41=AD301)*Tavoli!$A$2:$A$41))))</f>
        <v/>
      </c>
    </row>
  </sheetData>
  <conditionalFormatting sqref="F2:S301">
    <cfRule type="cellIs" priority="1" operator="equal" dxfId="0">
      <formula>"X"</formula>
    </cfRule>
  </conditionalFormatting>
  <conditionalFormatting sqref="T2:AA301">
    <cfRule type="cellIs" priority="2" operator="equal" dxfId="1">
      <formula>"X"</formula>
    </cfRule>
  </conditionalFormatting>
  <conditionalFormatting sqref="AE2:AE301">
    <cfRule type="expression" priority="3" dxfId="2">
      <formula>AE2="DUPLICATO"</formula>
    </cfRule>
    <cfRule type="expression" priority="4" dxfId="3">
      <formula>AE2="Da assegnare"</formula>
    </cfRule>
  </conditionalFormatting>
  <dataValidations count="3">
    <dataValidation sqref="C2:C301" showDropDown="0" showInputMessage="0" showErrorMessage="0" allowBlank="1" type="list">
      <formula1>"Adulto,Bambino,Neonato,Staff"</formula1>
    </dataValidation>
    <dataValidation sqref="D2:D301" showDropDown="0" showInputMessage="0" showErrorMessage="0" allowBlank="1" type="list">
      <formula1>"Vegetariano,Vegano,Fruttariano,Pescetariano,Crudista,Halal,Kosher"</formula1>
    </dataValidation>
    <dataValidation sqref="E2:E301 F2:AA301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8907A"/>
    <outlinePr summaryBelow="1" summaryRight="1"/>
    <pageSetUpPr/>
  </sheetPr>
  <dimension ref="A1:AD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5" customWidth="1" min="3" max="3"/>
    <col width="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0" customWidth="1" min="29" max="29"/>
    <col width="22" customWidth="1" min="30" max="30"/>
  </cols>
  <sheetData>
    <row r="1" ht="34" customHeight="1">
      <c r="A1" s="1" t="inlineStr">
        <is>
          <t>N. tavolo</t>
        </is>
      </c>
      <c r="B1" s="1" t="inlineStr">
        <is>
          <t>Nome tavolo (facoltativo)</t>
        </is>
      </c>
      <c r="C1" s="1" t="inlineStr">
        <is>
          <t>Forma tavolo</t>
        </is>
      </c>
      <c r="D1" s="1" t="inlineStr">
        <is>
          <t>N. posti</t>
        </is>
      </c>
      <c r="E1" s="6" t="inlineStr">
        <is>
          <t>Posto 1</t>
        </is>
      </c>
      <c r="F1" s="6" t="inlineStr">
        <is>
          <t>Posto 2</t>
        </is>
      </c>
      <c r="G1" s="6" t="inlineStr">
        <is>
          <t>Posto 3</t>
        </is>
      </c>
      <c r="H1" s="6" t="inlineStr">
        <is>
          <t>Posto 4</t>
        </is>
      </c>
      <c r="I1" s="6" t="inlineStr">
        <is>
          <t>Posto 5</t>
        </is>
      </c>
      <c r="J1" s="6" t="inlineStr">
        <is>
          <t>Posto 6</t>
        </is>
      </c>
      <c r="K1" s="6" t="inlineStr">
        <is>
          <t>Posto 7</t>
        </is>
      </c>
      <c r="L1" s="6" t="inlineStr">
        <is>
          <t>Posto 8</t>
        </is>
      </c>
      <c r="M1" s="6" t="inlineStr">
        <is>
          <t>Posto 9</t>
        </is>
      </c>
      <c r="N1" s="6" t="inlineStr">
        <is>
          <t>Posto 10</t>
        </is>
      </c>
      <c r="O1" s="6" t="inlineStr">
        <is>
          <t>Posto 11</t>
        </is>
      </c>
      <c r="P1" s="6" t="inlineStr">
        <is>
          <t>Posto 12</t>
        </is>
      </c>
      <c r="Q1" s="6" t="inlineStr">
        <is>
          <t>Posto 13</t>
        </is>
      </c>
      <c r="R1" s="6" t="inlineStr">
        <is>
          <t>Posto 14</t>
        </is>
      </c>
      <c r="S1" s="6" t="inlineStr">
        <is>
          <t>Posto 15</t>
        </is>
      </c>
      <c r="T1" s="6" t="inlineStr">
        <is>
          <t>Posto 16</t>
        </is>
      </c>
      <c r="U1" s="6" t="inlineStr">
        <is>
          <t>Posto 17</t>
        </is>
      </c>
      <c r="V1" s="6" t="inlineStr">
        <is>
          <t>Posto 18</t>
        </is>
      </c>
      <c r="W1" s="6" t="inlineStr">
        <is>
          <t>Posto 19</t>
        </is>
      </c>
      <c r="X1" s="6" t="inlineStr">
        <is>
          <t>Posto 20</t>
        </is>
      </c>
      <c r="Y1" s="6" t="inlineStr">
        <is>
          <t>Posto 21</t>
        </is>
      </c>
      <c r="Z1" s="6" t="inlineStr">
        <is>
          <t>Posto 22</t>
        </is>
      </c>
      <c r="AA1" s="6" t="inlineStr">
        <is>
          <t>Posto 23</t>
        </is>
      </c>
      <c r="AB1" s="6" t="inlineStr">
        <is>
          <t>Posto 24</t>
        </is>
      </c>
      <c r="AC1" s="2" t="inlineStr">
        <is>
          <t>Occupati</t>
        </is>
      </c>
      <c r="AD1" s="2" t="inlineStr">
        <is>
          <t>Controllo</t>
        </is>
      </c>
    </row>
    <row r="2">
      <c r="A2" s="10" t="n">
        <v>1</v>
      </c>
      <c r="B2" s="7" t="n"/>
      <c r="C2" s="7" t="n"/>
      <c r="D2" s="8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8">
        <f>COUNTA(E2:AB2)</f>
        <v/>
      </c>
      <c r="AD2" s="7">
        <f>IF(AND(C2="",D2="",AC2=0),"",IF(OR(C2="",D2=""),"Indicare forma e posti",IF(AC2&gt;D2,"Troppi invitati",IF(AC2&lt;D2,"Posti liberi: "&amp;(D2-AC2),"OK"))))</f>
        <v/>
      </c>
    </row>
    <row r="3">
      <c r="A3" s="10" t="n">
        <v>2</v>
      </c>
      <c r="B3" s="7" t="n"/>
      <c r="C3" s="7" t="n"/>
      <c r="D3" s="8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8">
        <f>COUNTA(E3:AB3)</f>
        <v/>
      </c>
      <c r="AD3" s="7">
        <f>IF(AND(C3="",D3="",AC3=0),"",IF(OR(C3="",D3=""),"Indicare forma e posti",IF(AC3&gt;D3,"Troppi invitati",IF(AC3&lt;D3,"Posti liberi: "&amp;(D3-AC3),"OK"))))</f>
        <v/>
      </c>
    </row>
    <row r="4">
      <c r="A4" s="10" t="n">
        <v>3</v>
      </c>
      <c r="B4" s="7" t="n"/>
      <c r="C4" s="7" t="n"/>
      <c r="D4" s="8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8">
        <f>COUNTA(E4:AB4)</f>
        <v/>
      </c>
      <c r="AD4" s="7">
        <f>IF(AND(C4="",D4="",AC4=0),"",IF(OR(C4="",D4=""),"Indicare forma e posti",IF(AC4&gt;D4,"Troppi invitati",IF(AC4&lt;D4,"Posti liberi: "&amp;(D4-AC4),"OK"))))</f>
        <v/>
      </c>
    </row>
    <row r="5">
      <c r="A5" s="10" t="n">
        <v>4</v>
      </c>
      <c r="B5" s="7" t="n"/>
      <c r="C5" s="7" t="n"/>
      <c r="D5" s="8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8">
        <f>COUNTA(E5:AB5)</f>
        <v/>
      </c>
      <c r="AD5" s="7">
        <f>IF(AND(C5="",D5="",AC5=0),"",IF(OR(C5="",D5=""),"Indicare forma e posti",IF(AC5&gt;D5,"Troppi invitati",IF(AC5&lt;D5,"Posti liberi: "&amp;(D5-AC5),"OK"))))</f>
        <v/>
      </c>
    </row>
    <row r="6">
      <c r="A6" s="10" t="n">
        <v>5</v>
      </c>
      <c r="B6" s="7" t="n"/>
      <c r="C6" s="7" t="n"/>
      <c r="D6" s="8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8">
        <f>COUNTA(E6:AB6)</f>
        <v/>
      </c>
      <c r="AD6" s="7">
        <f>IF(AND(C6="",D6="",AC6=0),"",IF(OR(C6="",D6=""),"Indicare forma e posti",IF(AC6&gt;D6,"Troppi invitati",IF(AC6&lt;D6,"Posti liberi: "&amp;(D6-AC6),"OK"))))</f>
        <v/>
      </c>
    </row>
    <row r="7">
      <c r="A7" s="10" t="n">
        <v>6</v>
      </c>
      <c r="B7" s="7" t="n"/>
      <c r="C7" s="7" t="n"/>
      <c r="D7" s="8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8">
        <f>COUNTA(E7:AB7)</f>
        <v/>
      </c>
      <c r="AD7" s="7">
        <f>IF(AND(C7="",D7="",AC7=0),"",IF(OR(C7="",D7=""),"Indicare forma e posti",IF(AC7&gt;D7,"Troppi invitati",IF(AC7&lt;D7,"Posti liberi: "&amp;(D7-AC7),"OK"))))</f>
        <v/>
      </c>
    </row>
    <row r="8">
      <c r="A8" s="10" t="n">
        <v>7</v>
      </c>
      <c r="B8" s="7" t="n"/>
      <c r="C8" s="7" t="n"/>
      <c r="D8" s="8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8">
        <f>COUNTA(E8:AB8)</f>
        <v/>
      </c>
      <c r="AD8" s="7">
        <f>IF(AND(C8="",D8="",AC8=0),"",IF(OR(C8="",D8=""),"Indicare forma e posti",IF(AC8&gt;D8,"Troppi invitati",IF(AC8&lt;D8,"Posti liberi: "&amp;(D8-AC8),"OK"))))</f>
        <v/>
      </c>
    </row>
    <row r="9">
      <c r="A9" s="10" t="n">
        <v>8</v>
      </c>
      <c r="B9" s="7" t="n"/>
      <c r="C9" s="7" t="n"/>
      <c r="D9" s="8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8">
        <f>COUNTA(E9:AB9)</f>
        <v/>
      </c>
      <c r="AD9" s="7">
        <f>IF(AND(C9="",D9="",AC9=0),"",IF(OR(C9="",D9=""),"Indicare forma e posti",IF(AC9&gt;D9,"Troppi invitati",IF(AC9&lt;D9,"Posti liberi: "&amp;(D9-AC9),"OK"))))</f>
        <v/>
      </c>
    </row>
    <row r="10">
      <c r="A10" s="10" t="n">
        <v>9</v>
      </c>
      <c r="B10" s="7" t="n"/>
      <c r="C10" s="7" t="n"/>
      <c r="D10" s="8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8">
        <f>COUNTA(E10:AB10)</f>
        <v/>
      </c>
      <c r="AD10" s="7">
        <f>IF(AND(C10="",D10="",AC10=0),"",IF(OR(C10="",D10=""),"Indicare forma e posti",IF(AC10&gt;D10,"Troppi invitati",IF(AC10&lt;D10,"Posti liberi: "&amp;(D10-AC10),"OK"))))</f>
        <v/>
      </c>
    </row>
    <row r="11">
      <c r="A11" s="10" t="n">
        <v>10</v>
      </c>
      <c r="B11" s="7" t="n"/>
      <c r="C11" s="7" t="n"/>
      <c r="D11" s="8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8">
        <f>COUNTA(E11:AB11)</f>
        <v/>
      </c>
      <c r="AD11" s="7">
        <f>IF(AND(C11="",D11="",AC11=0),"",IF(OR(C11="",D11=""),"Indicare forma e posti",IF(AC11&gt;D11,"Troppi invitati",IF(AC11&lt;D11,"Posti liberi: "&amp;(D11-AC11),"OK"))))</f>
        <v/>
      </c>
    </row>
    <row r="12">
      <c r="A12" s="10" t="n">
        <v>11</v>
      </c>
      <c r="B12" s="7" t="n"/>
      <c r="C12" s="7" t="n"/>
      <c r="D12" s="8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8">
        <f>COUNTA(E12:AB12)</f>
        <v/>
      </c>
      <c r="AD12" s="7">
        <f>IF(AND(C12="",D12="",AC12=0),"",IF(OR(C12="",D12=""),"Indicare forma e posti",IF(AC12&gt;D12,"Troppi invitati",IF(AC12&lt;D12,"Posti liberi: "&amp;(D12-AC12),"OK"))))</f>
        <v/>
      </c>
    </row>
    <row r="13">
      <c r="A13" s="10" t="n">
        <v>12</v>
      </c>
      <c r="B13" s="7" t="n"/>
      <c r="C13" s="7" t="n"/>
      <c r="D13" s="8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8">
        <f>COUNTA(E13:AB13)</f>
        <v/>
      </c>
      <c r="AD13" s="7">
        <f>IF(AND(C13="",D13="",AC13=0),"",IF(OR(C13="",D13=""),"Indicare forma e posti",IF(AC13&gt;D13,"Troppi invitati",IF(AC13&lt;D13,"Posti liberi: "&amp;(D13-AC13),"OK"))))</f>
        <v/>
      </c>
    </row>
    <row r="14">
      <c r="A14" s="10" t="n">
        <v>13</v>
      </c>
      <c r="B14" s="7" t="n"/>
      <c r="C14" s="7" t="n"/>
      <c r="D14" s="8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8">
        <f>COUNTA(E14:AB14)</f>
        <v/>
      </c>
      <c r="AD14" s="7">
        <f>IF(AND(C14="",D14="",AC14=0),"",IF(OR(C14="",D14=""),"Indicare forma e posti",IF(AC14&gt;D14,"Troppi invitati",IF(AC14&lt;D14,"Posti liberi: "&amp;(D14-AC14),"OK"))))</f>
        <v/>
      </c>
    </row>
    <row r="15">
      <c r="A15" s="10" t="n">
        <v>14</v>
      </c>
      <c r="B15" s="7" t="n"/>
      <c r="C15" s="7" t="n"/>
      <c r="D15" s="8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8">
        <f>COUNTA(E15:AB15)</f>
        <v/>
      </c>
      <c r="AD15" s="7">
        <f>IF(AND(C15="",D15="",AC15=0),"",IF(OR(C15="",D15=""),"Indicare forma e posti",IF(AC15&gt;D15,"Troppi invitati",IF(AC15&lt;D15,"Posti liberi: "&amp;(D15-AC15),"OK"))))</f>
        <v/>
      </c>
    </row>
    <row r="16">
      <c r="A16" s="10" t="n">
        <v>15</v>
      </c>
      <c r="B16" s="7" t="n"/>
      <c r="C16" s="7" t="n"/>
      <c r="D16" s="8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8">
        <f>COUNTA(E16:AB16)</f>
        <v/>
      </c>
      <c r="AD16" s="7">
        <f>IF(AND(C16="",D16="",AC16=0),"",IF(OR(C16="",D16=""),"Indicare forma e posti",IF(AC16&gt;D16,"Troppi invitati",IF(AC16&lt;D16,"Posti liberi: "&amp;(D16-AC16),"OK"))))</f>
        <v/>
      </c>
    </row>
    <row r="17">
      <c r="A17" s="10" t="n">
        <v>16</v>
      </c>
      <c r="B17" s="7" t="n"/>
      <c r="C17" s="7" t="n"/>
      <c r="D17" s="8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8">
        <f>COUNTA(E17:AB17)</f>
        <v/>
      </c>
      <c r="AD17" s="7">
        <f>IF(AND(C17="",D17="",AC17=0),"",IF(OR(C17="",D17=""),"Indicare forma e posti",IF(AC17&gt;D17,"Troppi invitati",IF(AC17&lt;D17,"Posti liberi: "&amp;(D17-AC17),"OK"))))</f>
        <v/>
      </c>
    </row>
    <row r="18">
      <c r="A18" s="10" t="n">
        <v>17</v>
      </c>
      <c r="B18" s="7" t="n"/>
      <c r="C18" s="7" t="n"/>
      <c r="D18" s="8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8">
        <f>COUNTA(E18:AB18)</f>
        <v/>
      </c>
      <c r="AD18" s="7">
        <f>IF(AND(C18="",D18="",AC18=0),"",IF(OR(C18="",D18=""),"Indicare forma e posti",IF(AC18&gt;D18,"Troppi invitati",IF(AC18&lt;D18,"Posti liberi: "&amp;(D18-AC18),"OK"))))</f>
        <v/>
      </c>
    </row>
    <row r="19">
      <c r="A19" s="10" t="n">
        <v>18</v>
      </c>
      <c r="B19" s="7" t="n"/>
      <c r="C19" s="7" t="n"/>
      <c r="D19" s="8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8">
        <f>COUNTA(E19:AB19)</f>
        <v/>
      </c>
      <c r="AD19" s="7">
        <f>IF(AND(C19="",D19="",AC19=0),"",IF(OR(C19="",D19=""),"Indicare forma e posti",IF(AC19&gt;D19,"Troppi invitati",IF(AC19&lt;D19,"Posti liberi: "&amp;(D19-AC19),"OK"))))</f>
        <v/>
      </c>
    </row>
    <row r="20">
      <c r="A20" s="10" t="n">
        <v>19</v>
      </c>
      <c r="B20" s="7" t="n"/>
      <c r="C20" s="7" t="n"/>
      <c r="D20" s="8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8">
        <f>COUNTA(E20:AB20)</f>
        <v/>
      </c>
      <c r="AD20" s="7">
        <f>IF(AND(C20="",D20="",AC20=0),"",IF(OR(C20="",D20=""),"Indicare forma e posti",IF(AC20&gt;D20,"Troppi invitati",IF(AC20&lt;D20,"Posti liberi: "&amp;(D20-AC20),"OK"))))</f>
        <v/>
      </c>
    </row>
    <row r="21">
      <c r="A21" s="10" t="n">
        <v>20</v>
      </c>
      <c r="B21" s="7" t="n"/>
      <c r="C21" s="7" t="n"/>
      <c r="D21" s="8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8">
        <f>COUNTA(E21:AB21)</f>
        <v/>
      </c>
      <c r="AD21" s="7">
        <f>IF(AND(C21="",D21="",AC21=0),"",IF(OR(C21="",D21=""),"Indicare forma e posti",IF(AC21&gt;D21,"Troppi invitati",IF(AC21&lt;D21,"Posti liberi: "&amp;(D21-AC21),"OK"))))</f>
        <v/>
      </c>
    </row>
    <row r="22">
      <c r="A22" s="10" t="n">
        <v>21</v>
      </c>
      <c r="B22" s="7" t="n"/>
      <c r="C22" s="7" t="n"/>
      <c r="D22" s="8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8">
        <f>COUNTA(E22:AB22)</f>
        <v/>
      </c>
      <c r="AD22" s="7">
        <f>IF(AND(C22="",D22="",AC22=0),"",IF(OR(C22="",D22=""),"Indicare forma e posti",IF(AC22&gt;D22,"Troppi invitati",IF(AC22&lt;D22,"Posti liberi: "&amp;(D22-AC22),"OK"))))</f>
        <v/>
      </c>
    </row>
    <row r="23">
      <c r="A23" s="10" t="n">
        <v>22</v>
      </c>
      <c r="B23" s="7" t="n"/>
      <c r="C23" s="7" t="n"/>
      <c r="D23" s="8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8">
        <f>COUNTA(E23:AB23)</f>
        <v/>
      </c>
      <c r="AD23" s="7">
        <f>IF(AND(C23="",D23="",AC23=0),"",IF(OR(C23="",D23=""),"Indicare forma e posti",IF(AC23&gt;D23,"Troppi invitati",IF(AC23&lt;D23,"Posti liberi: "&amp;(D23-AC23),"OK"))))</f>
        <v/>
      </c>
    </row>
    <row r="24">
      <c r="A24" s="10" t="n">
        <v>23</v>
      </c>
      <c r="B24" s="7" t="n"/>
      <c r="C24" s="7" t="n"/>
      <c r="D24" s="8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8">
        <f>COUNTA(E24:AB24)</f>
        <v/>
      </c>
      <c r="AD24" s="7">
        <f>IF(AND(C24="",D24="",AC24=0),"",IF(OR(C24="",D24=""),"Indicare forma e posti",IF(AC24&gt;D24,"Troppi invitati",IF(AC24&lt;D24,"Posti liberi: "&amp;(D24-AC24),"OK"))))</f>
        <v/>
      </c>
    </row>
    <row r="25">
      <c r="A25" s="10" t="n">
        <v>24</v>
      </c>
      <c r="B25" s="7" t="n"/>
      <c r="C25" s="7" t="n"/>
      <c r="D25" s="8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8">
        <f>COUNTA(E25:AB25)</f>
        <v/>
      </c>
      <c r="AD25" s="7">
        <f>IF(AND(C25="",D25="",AC25=0),"",IF(OR(C25="",D25=""),"Indicare forma e posti",IF(AC25&gt;D25,"Troppi invitati",IF(AC25&lt;D25,"Posti liberi: "&amp;(D25-AC25),"OK"))))</f>
        <v/>
      </c>
    </row>
    <row r="26">
      <c r="A26" s="10" t="n">
        <v>25</v>
      </c>
      <c r="B26" s="7" t="n"/>
      <c r="C26" s="7" t="n"/>
      <c r="D26" s="8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8">
        <f>COUNTA(E26:AB26)</f>
        <v/>
      </c>
      <c r="AD26" s="7">
        <f>IF(AND(C26="",D26="",AC26=0),"",IF(OR(C26="",D26=""),"Indicare forma e posti",IF(AC26&gt;D26,"Troppi invitati",IF(AC26&lt;D26,"Posti liberi: "&amp;(D26-AC26),"OK"))))</f>
        <v/>
      </c>
    </row>
    <row r="27">
      <c r="A27" s="10" t="n">
        <v>26</v>
      </c>
      <c r="B27" s="7" t="n"/>
      <c r="C27" s="7" t="n"/>
      <c r="D27" s="8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8">
        <f>COUNTA(E27:AB27)</f>
        <v/>
      </c>
      <c r="AD27" s="7">
        <f>IF(AND(C27="",D27="",AC27=0),"",IF(OR(C27="",D27=""),"Indicare forma e posti",IF(AC27&gt;D27,"Troppi invitati",IF(AC27&lt;D27,"Posti liberi: "&amp;(D27-AC27),"OK"))))</f>
        <v/>
      </c>
    </row>
    <row r="28">
      <c r="A28" s="10" t="n">
        <v>27</v>
      </c>
      <c r="B28" s="7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8">
        <f>COUNTA(E28:AB28)</f>
        <v/>
      </c>
      <c r="AD28" s="7">
        <f>IF(AND(C28="",D28="",AC28=0),"",IF(OR(C28="",D28=""),"Indicare forma e posti",IF(AC28&gt;D28,"Troppi invitati",IF(AC28&lt;D28,"Posti liberi: "&amp;(D28-AC28),"OK"))))</f>
        <v/>
      </c>
    </row>
    <row r="29">
      <c r="A29" s="10" t="n">
        <v>28</v>
      </c>
      <c r="B29" s="7" t="n"/>
      <c r="C29" s="7" t="n"/>
      <c r="D29" s="8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8">
        <f>COUNTA(E29:AB29)</f>
        <v/>
      </c>
      <c r="AD29" s="7">
        <f>IF(AND(C29="",D29="",AC29=0),"",IF(OR(C29="",D29=""),"Indicare forma e posti",IF(AC29&gt;D29,"Troppi invitati",IF(AC29&lt;D29,"Posti liberi: "&amp;(D29-AC29),"OK"))))</f>
        <v/>
      </c>
    </row>
    <row r="30">
      <c r="A30" s="10" t="n">
        <v>29</v>
      </c>
      <c r="B30" s="7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8">
        <f>COUNTA(E30:AB30)</f>
        <v/>
      </c>
      <c r="AD30" s="7">
        <f>IF(AND(C30="",D30="",AC30=0),"",IF(OR(C30="",D30=""),"Indicare forma e posti",IF(AC30&gt;D30,"Troppi invitati",IF(AC30&lt;D30,"Posti liberi: "&amp;(D30-AC30),"OK"))))</f>
        <v/>
      </c>
    </row>
    <row r="31">
      <c r="A31" s="10" t="n">
        <v>30</v>
      </c>
      <c r="B31" s="7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8">
        <f>COUNTA(E31:AB31)</f>
        <v/>
      </c>
      <c r="AD31" s="7">
        <f>IF(AND(C31="",D31="",AC31=0),"",IF(OR(C31="",D31=""),"Indicare forma e posti",IF(AC31&gt;D31,"Troppi invitati",IF(AC31&lt;D31,"Posti liberi: "&amp;(D31-AC31),"OK"))))</f>
        <v/>
      </c>
    </row>
    <row r="32">
      <c r="A32" s="10" t="n">
        <v>31</v>
      </c>
      <c r="B32" s="7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8">
        <f>COUNTA(E32:AB32)</f>
        <v/>
      </c>
      <c r="AD32" s="7">
        <f>IF(AND(C32="",D32="",AC32=0),"",IF(OR(C32="",D32=""),"Indicare forma e posti",IF(AC32&gt;D32,"Troppi invitati",IF(AC32&lt;D32,"Posti liberi: "&amp;(D32-AC32),"OK"))))</f>
        <v/>
      </c>
    </row>
    <row r="33">
      <c r="A33" s="10" t="n">
        <v>32</v>
      </c>
      <c r="B33" s="7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8">
        <f>COUNTA(E33:AB33)</f>
        <v/>
      </c>
      <c r="AD33" s="7">
        <f>IF(AND(C33="",D33="",AC33=0),"",IF(OR(C33="",D33=""),"Indicare forma e posti",IF(AC33&gt;D33,"Troppi invitati",IF(AC33&lt;D33,"Posti liberi: "&amp;(D33-AC33),"OK"))))</f>
        <v/>
      </c>
    </row>
    <row r="34">
      <c r="A34" s="10" t="n">
        <v>33</v>
      </c>
      <c r="B34" s="7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8">
        <f>COUNTA(E34:AB34)</f>
        <v/>
      </c>
      <c r="AD34" s="7">
        <f>IF(AND(C34="",D34="",AC34=0),"",IF(OR(C34="",D34=""),"Indicare forma e posti",IF(AC34&gt;D34,"Troppi invitati",IF(AC34&lt;D34,"Posti liberi: "&amp;(D34-AC34),"OK"))))</f>
        <v/>
      </c>
    </row>
    <row r="35">
      <c r="A35" s="10" t="n">
        <v>34</v>
      </c>
      <c r="B35" s="7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8">
        <f>COUNTA(E35:AB35)</f>
        <v/>
      </c>
      <c r="AD35" s="7">
        <f>IF(AND(C35="",D35="",AC35=0),"",IF(OR(C35="",D35=""),"Indicare forma e posti",IF(AC35&gt;D35,"Troppi invitati",IF(AC35&lt;D35,"Posti liberi: "&amp;(D35-AC35),"OK"))))</f>
        <v/>
      </c>
    </row>
    <row r="36">
      <c r="A36" s="10" t="n">
        <v>35</v>
      </c>
      <c r="B36" s="7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8">
        <f>COUNTA(E36:AB36)</f>
        <v/>
      </c>
      <c r="AD36" s="7">
        <f>IF(AND(C36="",D36="",AC36=0),"",IF(OR(C36="",D36=""),"Indicare forma e posti",IF(AC36&gt;D36,"Troppi invitati",IF(AC36&lt;D36,"Posti liberi: "&amp;(D36-AC36),"OK"))))</f>
        <v/>
      </c>
    </row>
    <row r="37">
      <c r="A37" s="10" t="n">
        <v>36</v>
      </c>
      <c r="B37" s="7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8">
        <f>COUNTA(E37:AB37)</f>
        <v/>
      </c>
      <c r="AD37" s="7">
        <f>IF(AND(C37="",D37="",AC37=0),"",IF(OR(C37="",D37=""),"Indicare forma e posti",IF(AC37&gt;D37,"Troppi invitati",IF(AC37&lt;D37,"Posti liberi: "&amp;(D37-AC37),"OK"))))</f>
        <v/>
      </c>
    </row>
    <row r="38">
      <c r="A38" s="10" t="n">
        <v>37</v>
      </c>
      <c r="B38" s="7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8">
        <f>COUNTA(E38:AB38)</f>
        <v/>
      </c>
      <c r="AD38" s="7">
        <f>IF(AND(C38="",D38="",AC38=0),"",IF(OR(C38="",D38=""),"Indicare forma e posti",IF(AC38&gt;D38,"Troppi invitati",IF(AC38&lt;D38,"Posti liberi: "&amp;(D38-AC38),"OK"))))</f>
        <v/>
      </c>
    </row>
    <row r="39">
      <c r="A39" s="10" t="n">
        <v>38</v>
      </c>
      <c r="B39" s="7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8">
        <f>COUNTA(E39:AB39)</f>
        <v/>
      </c>
      <c r="AD39" s="7">
        <f>IF(AND(C39="",D39="",AC39=0),"",IF(OR(C39="",D39=""),"Indicare forma e posti",IF(AC39&gt;D39,"Troppi invitati",IF(AC39&lt;D39,"Posti liberi: "&amp;(D39-AC39),"OK"))))</f>
        <v/>
      </c>
    </row>
    <row r="40">
      <c r="A40" s="10" t="n">
        <v>39</v>
      </c>
      <c r="B40" s="7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8">
        <f>COUNTA(E40:AB40)</f>
        <v/>
      </c>
      <c r="AD40" s="7">
        <f>IF(AND(C40="",D40="",AC40=0),"",IF(OR(C40="",D40=""),"Indicare forma e posti",IF(AC40&gt;D40,"Troppi invitati",IF(AC40&lt;D40,"Posti liberi: "&amp;(D40-AC40),"OK"))))</f>
        <v/>
      </c>
    </row>
    <row r="41">
      <c r="A41" s="10" t="n">
        <v>40</v>
      </c>
      <c r="B41" s="7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8">
        <f>COUNTA(E41:AB41)</f>
        <v/>
      </c>
      <c r="AD41" s="7">
        <f>IF(AND(C41="",D41="",AC41=0),"",IF(OR(C41="",D41=""),"Indicare forma e posti",IF(AC41&gt;D41,"Troppi invitati",IF(AC41&lt;D41,"Posti liberi: "&amp;(D41-AC41),"OK"))))</f>
        <v/>
      </c>
    </row>
  </sheetData>
  <conditionalFormatting sqref="E2:AB41">
    <cfRule type="expression" priority="1" dxfId="2">
      <formula>AND(E2&lt;&gt;"",COUNTIF($E$2:$AB$41,E2)&gt;1)</formula>
    </cfRule>
    <cfRule type="expression" priority="2" dxfId="4">
      <formula>AND($D2&lt;&gt;"",COLUMN()-4&gt;$D2)</formula>
    </cfRule>
  </conditionalFormatting>
  <conditionalFormatting sqref="AD2:AD41">
    <cfRule type="expression" priority="3" dxfId="5">
      <formula>AD2="OK"</formula>
    </cfRule>
    <cfRule type="expression" priority="4" dxfId="2">
      <formula>ISNUMBER(SEARCH("Troppi",AD2))</formula>
    </cfRule>
  </conditionalFormatting>
  <dataValidations count="3">
    <dataValidation sqref="C2:C41" showDropDown="0" showInputMessage="1" showErrorMessage="0" allowBlank="1" promptTitle="Forma" prompt="Scegli tavolo Tondo o Rettangolare (imperiale)" type="list">
      <formula1>"Tondo,Rettangolare"</formula1>
    </dataValidation>
    <dataValidation sqref="D2:D41" showDropDown="0" showInputMessage="0" showErrorMessage="0" allowBlank="1" errorTitle="N. posti" error="Inserisci un numero da 1 a 24" type="whole" operator="between">
      <formula1>1</formula1>
      <formula2>24</formula2>
    </dataValidation>
    <dataValidation sqref="E2:AB41" showDropDown="0" showInputMessage="0" showErrorMessage="1" allowBlank="1" errorTitle="Invitato non trovato" error="Scegli un nome dall'elenco (deve prima essere inserito nel foglio Invitati)." type="list">
      <formula1>=Invitati!$AD$2:$AD$301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383"/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11" t="inlineStr">
        <is>
          <t>L A   S T E L L A</t>
        </is>
      </c>
    </row>
    <row r="3">
      <c r="B3" s="12" t="inlineStr">
        <is>
          <t>N E W   C O N C E P T   B A N Q U E T I N G</t>
        </is>
      </c>
    </row>
    <row r="5">
      <c r="B5" s="13" t="inlineStr">
        <is>
          <t>Elenco invitati e disposizione ai tavoli</t>
        </is>
      </c>
    </row>
    <row r="7" ht="30" customHeight="1">
      <c r="B7" s="14" t="inlineStr">
        <is>
          <t>Come si compila</t>
        </is>
      </c>
      <c r="C7" s="15" t="inlineStr">
        <is>
          <t>Compilate i due fogli in ordine: prima «Invitati», poi «Tavoli». Poi rimandateci il file così com'è (non cambiate nomi dei fogli o l'ordine delle colonne).</t>
        </is>
      </c>
    </row>
    <row r="8" ht="45" customHeight="1">
      <c r="B8" s="14" t="inlineStr">
        <is>
          <t>1 · Foglio «Invitati»</t>
        </is>
      </c>
      <c r="C8" s="15" t="inlineStr">
        <is>
          <t>Una riga per persona: Nome, Cognome, Fascia (Adulto / Bambino / Neonato) e, se serve, Dieta. Mettete una X nelle colonne delle ALLERGIE (rosso) e delle INTOLLERANZE (giallo) che riguardano quella persona. Per tutto il resto usate le due colonne di testo a destra.</t>
        </is>
      </c>
    </row>
    <row r="9" ht="45" customHeight="1">
      <c r="B9" s="14" t="inlineStr">
        <is>
          <t xml:space="preserve">   Fascia</t>
        </is>
      </c>
      <c r="C9" s="15" t="inlineStr">
        <is>
          <t>Adulto · Bambino con menù bimbi (circa 3-10 anni) · Neonato con pappe della mamma (0-2 anni) · Staff (fotografo, musicisti, wedding planner… che siedono a tavola). Tutti occupano un posto a tavola.</t>
        </is>
      </c>
    </row>
    <row r="10" ht="30" customHeight="1">
      <c r="B10" s="14" t="inlineStr">
        <is>
          <t xml:space="preserve">   Seggiolone</t>
        </is>
      </c>
      <c r="C10" s="15" t="inlineStr">
        <is>
          <t>Mettete una X per i bambini che hanno bisogno di un seggiolone: va comunicato almeno 15 giorni prima.</t>
        </is>
      </c>
    </row>
    <row r="11" ht="30" customHeight="1">
      <c r="B11" s="14" t="inlineStr">
        <is>
          <t xml:space="preserve">   Dieta</t>
        </is>
      </c>
      <c r="C11" s="15" t="inlineStr">
        <is>
          <t>Vegetariano · Vegano · Fruttariano · Pescetariano · Crudista · Halal · Kosher. Lasciate vuoto se nessuna.</t>
        </is>
      </c>
    </row>
    <row r="12" ht="30" customHeight="1">
      <c r="B12" s="14" t="inlineStr">
        <is>
          <t xml:space="preserve">   Allergie</t>
        </is>
      </c>
      <c r="C12" s="15" t="inlineStr">
        <is>
          <t>Sono i 14 allergeni a dichiarazione obbligatoria (Reg. UE 1169/2011). Una allergia è un rischio per la salute: segnalatela sempre, anche se lieve.</t>
        </is>
      </c>
    </row>
    <row r="13" ht="45" customHeight="1">
      <c r="B13" s="14" t="inlineStr">
        <is>
          <t xml:space="preserve">   Intolleranze</t>
        </is>
      </c>
      <c r="C13" s="15" t="inlineStr">
        <is>
          <t>Celiachia, lattosio, nichel, istamina, fruttosio, favismo, gravidanza, funghi. Se manca la vostra, scrivetela in «Altre allergie / intolleranze». Per allergie e intolleranze la cucina prepara un'alternativa al menù principale, senza che dobbiate cambiare le ricette scelte.</t>
        </is>
      </c>
    </row>
    <row r="14" ht="45" customHeight="1">
      <c r="B14" s="14" t="inlineStr">
        <is>
          <t>2 · Foglio «Tavoli»</t>
        </is>
      </c>
      <c r="C14" s="15" t="inlineStr">
        <is>
          <t>Per ogni tavolo: scegliete la FORMA (Tondo o Rettangolare/imperiale), indicate il NUMERO DI POSTI e poi, nelle colonne «Posto 1…», scegliete dal menu a tendina il nome dell'invitato (l'elenco si alimenta da «Invitati»).</t>
        </is>
      </c>
    </row>
    <row r="15" ht="30" customHeight="1">
      <c r="B15" s="14" t="inlineStr">
        <is>
          <t xml:space="preserve">   Tavoli tondi</t>
        </is>
      </c>
      <c r="C15" s="15" t="inlineStr">
        <is>
          <t>Da un minimo di 8 a un massimo di 11 persone per tavolo (bambini e neonati compresi). I posti sono numerati in senso orario partendo dal posto 1.</t>
        </is>
      </c>
    </row>
    <row r="16" ht="30" customHeight="1">
      <c r="B16" s="14" t="inlineStr">
        <is>
          <t xml:space="preserve">   Tavoli rettangolari</t>
        </is>
      </c>
      <c r="C16" s="15" t="inlineStr">
        <is>
          <t>I posti si dividono sui due lati lunghi: dal posto 1 si riempie il lato superiore da sinistra a destra (metà posti, +1 se dispari), poi il lato inferiore da sinistra a destra.</t>
        </is>
      </c>
    </row>
    <row r="17" ht="30" customHeight="1">
      <c r="B17" s="14" t="inlineStr">
        <is>
          <t xml:space="preserve">   Controlli automatici</t>
        </is>
      </c>
      <c r="C17" s="15" t="inlineStr">
        <is>
          <t>Colonna «Controllo»: segnala posti liberi / troppi invitati. Un nome ripetuto in due posti diventa rosso. In «Invitati» l'ultima colonna dice se la persona è già assegnata a un tavolo.</t>
        </is>
      </c>
    </row>
    <row r="18" ht="60" customHeight="1">
      <c r="B18" s="14" t="inlineStr">
        <is>
          <t>Scadenze</t>
        </is>
      </c>
      <c r="C18" s="15" t="inlineStr">
        <is>
          <t>Da inviare a info@cateringlastella.com almeno 15 giorni prima dell'evento: numero definitivo di partecipanti (adulti, staff, bambini, neonati), allergie e intolleranze, composizione e nomi dei tavoli, seggiolini, attrezzatura per altri fornitori, eventuali extra time. Le scelte di allestimento vanno confermate entro la data indicata dal vostro referente.</t>
        </is>
      </c>
    </row>
    <row r="20">
      <c r="B20" s="16" t="inlineStr">
        <is>
          <t>Riepilogo automatico</t>
        </is>
      </c>
    </row>
    <row r="21">
      <c r="B21" s="17" t="inlineStr">
        <is>
          <t>Invitati inseriti</t>
        </is>
      </c>
      <c r="C21" s="18">
        <f>SUMPRODUCT(--(Invitati!$A$2:$A$301&amp;Invitati!$B$2:$B$301&lt;&gt;""))</f>
        <v/>
      </c>
    </row>
    <row r="22">
      <c r="B22" s="17" t="inlineStr">
        <is>
          <t xml:space="preserve">   di cui adulti</t>
        </is>
      </c>
      <c r="C22" s="18">
        <f>COUNTIF(Invitati!$C$2:$C$301,"Adulto")</f>
        <v/>
      </c>
    </row>
    <row r="23">
      <c r="B23" s="17" t="inlineStr">
        <is>
          <t xml:space="preserve">   di cui bambini</t>
        </is>
      </c>
      <c r="C23" s="18">
        <f>COUNTIF(Invitati!$C$2:$C$301,"Bambino")</f>
        <v/>
      </c>
    </row>
    <row r="24">
      <c r="B24" s="17" t="inlineStr">
        <is>
          <t xml:space="preserve">   di cui neonati</t>
        </is>
      </c>
      <c r="C24" s="18">
        <f>COUNTIF(Invitati!$C$2:$C$301,"Neonato")</f>
        <v/>
      </c>
    </row>
    <row r="25">
      <c r="B25" s="17" t="inlineStr">
        <is>
          <t xml:space="preserve">   di cui staff</t>
        </is>
      </c>
      <c r="C25" s="18">
        <f>COUNTIF(Invitati!$C$2:$C$301,"Staff")</f>
        <v/>
      </c>
    </row>
    <row r="26">
      <c r="B26" s="17" t="inlineStr">
        <is>
          <t>Seggioloni richiesti</t>
        </is>
      </c>
      <c r="C26" s="18">
        <f>COUNTIF(Invitati!$E$2:$E$301,"X")</f>
        <v/>
      </c>
    </row>
    <row r="27">
      <c r="B27" s="17" t="inlineStr">
        <is>
          <t>Tavoli compilati</t>
        </is>
      </c>
      <c r="C27" s="18">
        <f>COUNTIF(Tavoli!$D$2:$D$41,"&gt;0")</f>
        <v/>
      </c>
    </row>
    <row r="28">
      <c r="B28" s="17" t="inlineStr">
        <is>
          <t>Posti totali</t>
        </is>
      </c>
      <c r="C28" s="18">
        <f>SUM(Tavoli!$D$2:$D$41)</f>
        <v/>
      </c>
    </row>
    <row r="29">
      <c r="B29" s="17" t="inlineStr">
        <is>
          <t>Invitati ancora da assegnare</t>
        </is>
      </c>
      <c r="C29" s="18">
        <f>COUNTIF(Invitati!$AE$2:$AE$301,"Da assegnare")</f>
        <v/>
      </c>
    </row>
    <row r="30">
      <c r="B30" s="17" t="inlineStr">
        <is>
          <t>Segnalazioni di allergia (totale X)</t>
        </is>
      </c>
      <c r="C30" s="18">
        <f>COUNTIF(Invitati!$F$2:$S$301,"X")</f>
        <v/>
      </c>
    </row>
    <row r="32">
      <c r="B32" s="19" t="inlineStr">
        <is>
          <t>Per qualsiasi dubbio: info@cateringlastella.com · +39 339 385 8184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2026-10-25T07:27:15Z</dcterms:created>
  <dcterms:modified xmlns:dcterms="http://purl.org/dc/terms/" xmlns:xsi="http://www.w3.org/2001/XMLSchema-instance" xsi:type="dcterms:W3CDTF">2026-10-25T07:27:16Z</dcterms:modified>
</cp:coreProperties>
</file>