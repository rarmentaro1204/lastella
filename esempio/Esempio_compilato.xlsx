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ti" sheetId="1" state="visible" r:id="rId1"/>
    <sheet xmlns:r="http://schemas.openxmlformats.org/officeDocument/2006/relationships" name="Tavoli" sheetId="2" state="visible" r:id="rId2"/>
    <sheet xmlns:r="http://schemas.openxmlformats.org/officeDocument/2006/relationships" name="Leggi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3272E"/>
      <sz val="10"/>
    </font>
    <font>
      <color rgb="006B6B6B"/>
      <sz val="9"/>
    </font>
    <font>
      <b val="1"/>
    </font>
    <font>
      <name val="Georgia"/>
      <b val="1"/>
      <color rgb="002E3540"/>
      <sz val="20"/>
    </font>
    <font>
      <color rgb="00A8907A"/>
      <sz val="9"/>
    </font>
    <font>
      <b val="1"/>
      <color rgb="0023272E"/>
      <sz val="14"/>
    </font>
    <font>
      <b val="1"/>
      <color rgb="0023272E"/>
    </font>
    <font>
      <b val="1"/>
      <color rgb="0023272E"/>
      <sz val="12"/>
    </font>
    <font>
      <color rgb="0023272E"/>
    </font>
    <font>
      <b val="1"/>
      <color rgb="002E3540"/>
    </font>
    <font>
      <i val="1"/>
      <color rgb="00A8907A"/>
    </font>
  </fonts>
  <fills count="8">
    <fill>
      <patternFill/>
    </fill>
    <fill>
      <patternFill patternType="gray125"/>
    </fill>
    <fill>
      <patternFill patternType="solid">
        <fgColor rgb="002E3540"/>
        <bgColor rgb="002E3540"/>
      </patternFill>
    </fill>
    <fill>
      <patternFill patternType="solid">
        <fgColor rgb="008FA383"/>
        <bgColor rgb="008FA383"/>
      </patternFill>
    </fill>
    <fill>
      <patternFill patternType="solid">
        <fgColor rgb="00C46A4F"/>
        <bgColor rgb="00C46A4F"/>
      </patternFill>
    </fill>
    <fill>
      <patternFill patternType="solid">
        <fgColor rgb="00D9A441"/>
        <bgColor rgb="00D9A441"/>
      </patternFill>
    </fill>
    <fill>
      <patternFill patternType="solid">
        <fgColor rgb="00A8907A"/>
        <bgColor rgb="00A8907A"/>
      </patternFill>
    </fill>
    <fill>
      <patternFill patternType="solid">
        <fgColor rgb="00E6E2DB"/>
        <bgColor rgb="00E6E2DB"/>
      </patternFill>
    </fill>
  </fills>
  <borders count="2">
    <border>
      <left/>
      <right/>
      <top/>
      <bottom/>
      <diagonal/>
    </border>
    <border>
      <left style="thin">
        <color rgb="00D5CFC5"/>
      </left>
      <right style="thin">
        <color rgb="00D5CFC5"/>
      </right>
      <top style="thin">
        <color rgb="00D5CFC5"/>
      </top>
      <bottom style="thin">
        <color rgb="00D5CF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textRotation="90" wrapText="1"/>
    </xf>
    <xf numFmtId="0" fontId="2" fillId="5" borderId="1" applyAlignment="1" pivotButton="0" quotePrefix="0" xfId="0">
      <alignment horizontal="center" vertical="center" textRotation="90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7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C46A4F"/>
          <bgColor rgb="00C46A4F"/>
        </patternFill>
      </fill>
    </dxf>
    <dxf>
      <font>
        <b val="1"/>
        <color rgb="0023272E"/>
      </font>
      <fill>
        <patternFill patternType="solid">
          <fgColor rgb="00D9A441"/>
          <bgColor rgb="00D9A441"/>
        </patternFill>
      </fill>
    </dxf>
    <dxf>
      <font>
        <b val="1"/>
        <color rgb="008A2A12"/>
      </font>
      <fill>
        <patternFill patternType="solid">
          <fgColor rgb="00F2B8A8"/>
          <bgColor rgb="00F2B8A8"/>
        </patternFill>
      </fill>
    </dxf>
    <dxf>
      <font>
        <i val="1"/>
        <color rgb="00B07A1A"/>
      </font>
    </dxf>
    <dxf>
      <fill>
        <patternFill patternType="solid">
          <fgColor rgb="00D9D5CE"/>
          <bgColor rgb="00D9D5CE"/>
        </patternFill>
      </fill>
    </dxf>
    <dxf>
      <font>
        <b val="1"/>
        <color rgb="003E5A32"/>
      </font>
      <fill>
        <patternFill patternType="solid">
          <fgColor rgb="00DCE8D5"/>
          <bgColor rgb="00DCE8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3540"/>
    <outlinePr summaryBelow="1" summaryRight="1"/>
    <pageSetUpPr/>
  </sheetPr>
  <dimension ref="A1:AB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28" customWidth="1" min="25" max="25"/>
    <col width="28" customWidth="1" min="26" max="26"/>
    <col width="24" customWidth="1" min="27" max="27"/>
    <col width="14" customWidth="1" min="28" max="28"/>
  </cols>
  <sheetData>
    <row r="1" ht="130" customHeight="1">
      <c r="A1" s="1" t="inlineStr">
        <is>
          <t>Nome</t>
        </is>
      </c>
      <c r="B1" s="1" t="inlineStr">
        <is>
          <t>Cognome</t>
        </is>
      </c>
      <c r="C1" s="1" t="inlineStr">
        <is>
          <t>Fascia</t>
        </is>
      </c>
      <c r="D1" s="2" t="inlineStr">
        <is>
          <t>Dieta</t>
        </is>
      </c>
      <c r="E1" s="3" t="inlineStr">
        <is>
          <t>Allergia – Glutine (cereali)</t>
        </is>
      </c>
      <c r="F1" s="3" t="inlineStr">
        <is>
          <t>Allergia – Crostacei</t>
        </is>
      </c>
      <c r="G1" s="3" t="inlineStr">
        <is>
          <t>Allergia – Uova</t>
        </is>
      </c>
      <c r="H1" s="3" t="inlineStr">
        <is>
          <t>Allergia – Pesce</t>
        </is>
      </c>
      <c r="I1" s="3" t="inlineStr">
        <is>
          <t>Allergia – Arachidi</t>
        </is>
      </c>
      <c r="J1" s="3" t="inlineStr">
        <is>
          <t>Allergia – Soia</t>
        </is>
      </c>
      <c r="K1" s="3" t="inlineStr">
        <is>
          <t>Allergia – Latte e derivati</t>
        </is>
      </c>
      <c r="L1" s="3" t="inlineStr">
        <is>
          <t>Allergia – Frutta a guscio</t>
        </is>
      </c>
      <c r="M1" s="3" t="inlineStr">
        <is>
          <t>Allergia – Sedano</t>
        </is>
      </c>
      <c r="N1" s="3" t="inlineStr">
        <is>
          <t>Allergia – Senape</t>
        </is>
      </c>
      <c r="O1" s="3" t="inlineStr">
        <is>
          <t>Allergia – Sesamo</t>
        </is>
      </c>
      <c r="P1" s="3" t="inlineStr">
        <is>
          <t>Allergia – Solfiti</t>
        </is>
      </c>
      <c r="Q1" s="3" t="inlineStr">
        <is>
          <t>Allergia – Lupini</t>
        </is>
      </c>
      <c r="R1" s="3" t="inlineStr">
        <is>
          <t>Allergia – Molluschi</t>
        </is>
      </c>
      <c r="S1" s="4" t="inlineStr">
        <is>
          <t>Intolleranza – Celiachia</t>
        </is>
      </c>
      <c r="T1" s="4" t="inlineStr">
        <is>
          <t>Intolleranza – Lattosio</t>
        </is>
      </c>
      <c r="U1" s="4" t="inlineStr">
        <is>
          <t>Intolleranza – Nichel</t>
        </is>
      </c>
      <c r="V1" s="4" t="inlineStr">
        <is>
          <t>Intolleranza – Istamina</t>
        </is>
      </c>
      <c r="W1" s="4" t="inlineStr">
        <is>
          <t>Intolleranza – Fruttosio</t>
        </is>
      </c>
      <c r="X1" s="4" t="inlineStr">
        <is>
          <t>Intolleranza – Favismo</t>
        </is>
      </c>
      <c r="Y1" s="1" t="inlineStr">
        <is>
          <t>Altre allergie / intolleranze (scrivere)</t>
        </is>
      </c>
      <c r="Z1" s="1" t="inlineStr">
        <is>
          <t>Note per la cucina</t>
        </is>
      </c>
      <c r="AA1" s="5" t="inlineStr">
        <is>
          <t>Nome completo</t>
        </is>
      </c>
      <c r="AB1" s="5" t="inlineStr">
        <is>
          <t>Stato tavolo</t>
        </is>
      </c>
    </row>
    <row r="2">
      <c r="A2" s="6" t="inlineStr">
        <is>
          <t>Enrico</t>
        </is>
      </c>
      <c r="B2" s="6" t="inlineStr">
        <is>
          <t>Leone</t>
        </is>
      </c>
      <c r="C2" s="6" t="inlineStr">
        <is>
          <t>Adulto</t>
        </is>
      </c>
      <c r="D2" s="6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6" t="n"/>
      <c r="Z2" s="6" t="n"/>
      <c r="AA2" s="8">
        <f>IF(OR(A2&lt;&gt;"",B2&lt;&gt;""),TRIM(A2&amp;" "&amp;B2),"")</f>
        <v/>
      </c>
      <c r="AB2" s="8">
        <f>IF(AA2="","",IF(COUNTIF(Tavoli!$E$2:$AB$41,AA2)=0,"Da assegnare",IF(COUNTIF(Tavoli!$E$2:$AB$41,AA2)&gt;1,"DUPLICATO","Tavolo "&amp;SUMPRODUCT((Tavoli!$E$2:$AB$41=AA2)*Tavoli!$A$2:$A$41))))</f>
        <v/>
      </c>
    </row>
    <row r="3">
      <c r="A3" s="6" t="inlineStr">
        <is>
          <t>Chiara</t>
        </is>
      </c>
      <c r="B3" s="6" t="inlineStr">
        <is>
          <t>Lombardo</t>
        </is>
      </c>
      <c r="C3" s="6" t="inlineStr">
        <is>
          <t>Adulto</t>
        </is>
      </c>
      <c r="D3" s="6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6" t="n"/>
      <c r="Z3" s="6" t="n"/>
      <c r="AA3" s="8">
        <f>IF(OR(A3&lt;&gt;"",B3&lt;&gt;""),TRIM(A3&amp;" "&amp;B3),"")</f>
        <v/>
      </c>
      <c r="AB3" s="8">
        <f>IF(AA3="","",IF(COUNTIF(Tavoli!$E$2:$AB$41,AA3)=0,"Da assegnare",IF(COUNTIF(Tavoli!$E$2:$AB$41,AA3)&gt;1,"DUPLICATO","Tavolo "&amp;SUMPRODUCT((Tavoli!$E$2:$AB$41=AA3)*Tavoli!$A$2:$A$41))))</f>
        <v/>
      </c>
    </row>
    <row r="4">
      <c r="A4" s="6" t="inlineStr">
        <is>
          <t>Elena</t>
        </is>
      </c>
      <c r="B4" s="6" t="inlineStr">
        <is>
          <t>Romano</t>
        </is>
      </c>
      <c r="C4" s="6" t="inlineStr">
        <is>
          <t>Adulto</t>
        </is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inlineStr">
        <is>
          <t>X</t>
        </is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6" t="n"/>
      <c r="Z4" s="6" t="n"/>
      <c r="AA4" s="8">
        <f>IF(OR(A4&lt;&gt;"",B4&lt;&gt;""),TRIM(A4&amp;" "&amp;B4),"")</f>
        <v/>
      </c>
      <c r="AB4" s="8">
        <f>IF(AA4="","",IF(COUNTIF(Tavoli!$E$2:$AB$41,AA4)=0,"Da assegnare",IF(COUNTIF(Tavoli!$E$2:$AB$41,AA4)&gt;1,"DUPLICATO","Tavolo "&amp;SUMPRODUCT((Tavoli!$E$2:$AB$41=AA4)*Tavoli!$A$2:$A$41))))</f>
        <v/>
      </c>
    </row>
    <row r="5">
      <c r="A5" s="6" t="inlineStr">
        <is>
          <t>Marco</t>
        </is>
      </c>
      <c r="B5" s="6" t="inlineStr">
        <is>
          <t>Caruso</t>
        </is>
      </c>
      <c r="C5" s="6" t="inlineStr">
        <is>
          <t>Adulto</t>
        </is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6" t="n"/>
      <c r="Z5" s="6" t="n"/>
      <c r="AA5" s="8">
        <f>IF(OR(A5&lt;&gt;"",B5&lt;&gt;""),TRIM(A5&amp;" "&amp;B5),"")</f>
        <v/>
      </c>
      <c r="AB5" s="8">
        <f>IF(AA5="","",IF(COUNTIF(Tavoli!$E$2:$AB$41,AA5)=0,"Da assegnare",IF(COUNTIF(Tavoli!$E$2:$AB$41,AA5)&gt;1,"DUPLICATO","Tavolo "&amp;SUMPRODUCT((Tavoli!$E$2:$AB$41=AA5)*Tavoli!$A$2:$A$41))))</f>
        <v/>
      </c>
    </row>
    <row r="6">
      <c r="A6" s="6" t="inlineStr">
        <is>
          <t>Alice</t>
        </is>
      </c>
      <c r="B6" s="6" t="inlineStr">
        <is>
          <t>Rinaldi</t>
        </is>
      </c>
      <c r="C6" s="6" t="inlineStr">
        <is>
          <t>Adulto</t>
        </is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6" t="n"/>
      <c r="Z6" s="6" t="n"/>
      <c r="AA6" s="8">
        <f>IF(OR(A6&lt;&gt;"",B6&lt;&gt;""),TRIM(A6&amp;" "&amp;B6),"")</f>
        <v/>
      </c>
      <c r="AB6" s="8">
        <f>IF(AA6="","",IF(COUNTIF(Tavoli!$E$2:$AB$41,AA6)=0,"Da assegnare",IF(COUNTIF(Tavoli!$E$2:$AB$41,AA6)&gt;1,"DUPLICATO","Tavolo "&amp;SUMPRODUCT((Tavoli!$E$2:$AB$41=AA6)*Tavoli!$A$2:$A$41))))</f>
        <v/>
      </c>
    </row>
    <row r="7">
      <c r="A7" s="6" t="inlineStr">
        <is>
          <t>Federica</t>
        </is>
      </c>
      <c r="B7" s="6" t="inlineStr">
        <is>
          <t>Costa</t>
        </is>
      </c>
      <c r="C7" s="6" t="inlineStr">
        <is>
          <t>Adulto</t>
        </is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6" t="inlineStr">
        <is>
          <t>Allergia al kiwi</t>
        </is>
      </c>
      <c r="Z7" s="6" t="n"/>
      <c r="AA7" s="8">
        <f>IF(OR(A7&lt;&gt;"",B7&lt;&gt;""),TRIM(A7&amp;" "&amp;B7),"")</f>
        <v/>
      </c>
      <c r="AB7" s="8">
        <f>IF(AA7="","",IF(COUNTIF(Tavoli!$E$2:$AB$41,AA7)=0,"Da assegnare",IF(COUNTIF(Tavoli!$E$2:$AB$41,AA7)&gt;1,"DUPLICATO","Tavolo "&amp;SUMPRODUCT((Tavoli!$E$2:$AB$41=AA7)*Tavoli!$A$2:$A$41))))</f>
        <v/>
      </c>
    </row>
    <row r="8">
      <c r="A8" s="6" t="inlineStr">
        <is>
          <t>Laura</t>
        </is>
      </c>
      <c r="B8" s="6" t="inlineStr">
        <is>
          <t>Longo</t>
        </is>
      </c>
      <c r="C8" s="6" t="inlineStr">
        <is>
          <t>Adulto</t>
        </is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6" t="n"/>
      <c r="Z8" s="6" t="n"/>
      <c r="AA8" s="8">
        <f>IF(OR(A8&lt;&gt;"",B8&lt;&gt;""),TRIM(A8&amp;" "&amp;B8),"")</f>
        <v/>
      </c>
      <c r="AB8" s="8">
        <f>IF(AA8="","",IF(COUNTIF(Tavoli!$E$2:$AB$41,AA8)=0,"Da assegnare",IF(COUNTIF(Tavoli!$E$2:$AB$41,AA8)&gt;1,"DUPLICATO","Tavolo "&amp;SUMPRODUCT((Tavoli!$E$2:$AB$41=AA8)*Tavoli!$A$2:$A$41))))</f>
        <v/>
      </c>
    </row>
    <row r="9">
      <c r="A9" s="6" t="inlineStr">
        <is>
          <t>Giulia</t>
        </is>
      </c>
      <c r="B9" s="6" t="inlineStr">
        <is>
          <t>Galli</t>
        </is>
      </c>
      <c r="C9" s="6" t="inlineStr">
        <is>
          <t>Adulto</t>
        </is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6" t="n"/>
      <c r="Z9" s="6" t="n"/>
      <c r="AA9" s="8">
        <f>IF(OR(A9&lt;&gt;"",B9&lt;&gt;""),TRIM(A9&amp;" "&amp;B9),"")</f>
        <v/>
      </c>
      <c r="AB9" s="8">
        <f>IF(AA9="","",IF(COUNTIF(Tavoli!$E$2:$AB$41,AA9)=0,"Da assegnare",IF(COUNTIF(Tavoli!$E$2:$AB$41,AA9)&gt;1,"DUPLICATO","Tavolo "&amp;SUMPRODUCT((Tavoli!$E$2:$AB$41=AA9)*Tavoli!$A$2:$A$41))))</f>
        <v/>
      </c>
    </row>
    <row r="10">
      <c r="A10" s="6" t="inlineStr">
        <is>
          <t>Daniele</t>
        </is>
      </c>
      <c r="B10" s="6" t="inlineStr">
        <is>
          <t>Caruso</t>
        </is>
      </c>
      <c r="C10" s="6" t="inlineStr">
        <is>
          <t>Adulto</t>
        </is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6" t="n"/>
      <c r="Z10" s="6" t="n"/>
      <c r="AA10" s="8">
        <f>IF(OR(A10&lt;&gt;"",B10&lt;&gt;""),TRIM(A10&amp;" "&amp;B10),"")</f>
        <v/>
      </c>
      <c r="AB10" s="8">
        <f>IF(AA10="","",IF(COUNTIF(Tavoli!$E$2:$AB$41,AA10)=0,"Da assegnare",IF(COUNTIF(Tavoli!$E$2:$AB$41,AA10)&gt;1,"DUPLICATO","Tavolo "&amp;SUMPRODUCT((Tavoli!$E$2:$AB$41=AA10)*Tavoli!$A$2:$A$41))))</f>
        <v/>
      </c>
    </row>
    <row r="11">
      <c r="A11" s="6" t="inlineStr">
        <is>
          <t>Simone</t>
        </is>
      </c>
      <c r="B11" s="6" t="inlineStr">
        <is>
          <t>Rossi</t>
        </is>
      </c>
      <c r="C11" s="6" t="inlineStr">
        <is>
          <t>Adulto</t>
        </is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6" t="n"/>
      <c r="Z11" s="6" t="inlineStr">
        <is>
          <t>Seggiolone per favore</t>
        </is>
      </c>
      <c r="AA11" s="8">
        <f>IF(OR(A11&lt;&gt;"",B11&lt;&gt;""),TRIM(A11&amp;" "&amp;B11),"")</f>
        <v/>
      </c>
      <c r="AB11" s="8">
        <f>IF(AA11="","",IF(COUNTIF(Tavoli!$E$2:$AB$41,AA11)=0,"Da assegnare",IF(COUNTIF(Tavoli!$E$2:$AB$41,AA11)&gt;1,"DUPLICATO","Tavolo "&amp;SUMPRODUCT((Tavoli!$E$2:$AB$41=AA11)*Tavoli!$A$2:$A$41))))</f>
        <v/>
      </c>
    </row>
    <row r="12">
      <c r="A12" s="6" t="inlineStr">
        <is>
          <t>Gabriele</t>
        </is>
      </c>
      <c r="B12" s="6" t="inlineStr">
        <is>
          <t>Rinaldi</t>
        </is>
      </c>
      <c r="C12" s="6" t="inlineStr">
        <is>
          <t>Adulto</t>
        </is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6" t="n"/>
      <c r="Z12" s="6" t="n"/>
      <c r="AA12" s="8">
        <f>IF(OR(A12&lt;&gt;"",B12&lt;&gt;""),TRIM(A12&amp;" "&amp;B12),"")</f>
        <v/>
      </c>
      <c r="AB12" s="8">
        <f>IF(AA12="","",IF(COUNTIF(Tavoli!$E$2:$AB$41,AA12)=0,"Da assegnare",IF(COUNTIF(Tavoli!$E$2:$AB$41,AA12)&gt;1,"DUPLICATO","Tavolo "&amp;SUMPRODUCT((Tavoli!$E$2:$AB$41=AA12)*Tavoli!$A$2:$A$41))))</f>
        <v/>
      </c>
    </row>
    <row r="13">
      <c r="A13" s="6" t="inlineStr">
        <is>
          <t>Andrea</t>
        </is>
      </c>
      <c r="B13" s="6" t="inlineStr">
        <is>
          <t>Greco</t>
        </is>
      </c>
      <c r="C13" s="6" t="inlineStr">
        <is>
          <t>Adulto</t>
        </is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6" t="n"/>
      <c r="Z13" s="6" t="n"/>
      <c r="AA13" s="8">
        <f>IF(OR(A13&lt;&gt;"",B13&lt;&gt;""),TRIM(A13&amp;" "&amp;B13),"")</f>
        <v/>
      </c>
      <c r="AB13" s="8">
        <f>IF(AA13="","",IF(COUNTIF(Tavoli!$E$2:$AB$41,AA13)=0,"Da assegnare",IF(COUNTIF(Tavoli!$E$2:$AB$41,AA13)&gt;1,"DUPLICATO","Tavolo "&amp;SUMPRODUCT((Tavoli!$E$2:$AB$41=AA13)*Tavoli!$A$2:$A$41))))</f>
        <v/>
      </c>
    </row>
    <row r="14">
      <c r="A14" s="6" t="inlineStr">
        <is>
          <t>Elena</t>
        </is>
      </c>
      <c r="B14" s="6" t="inlineStr">
        <is>
          <t>Vitale</t>
        </is>
      </c>
      <c r="C14" s="6" t="inlineStr">
        <is>
          <t>Adulto</t>
        </is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6" t="n"/>
      <c r="Z14" s="6" t="n"/>
      <c r="AA14" s="8">
        <f>IF(OR(A14&lt;&gt;"",B14&lt;&gt;""),TRIM(A14&amp;" "&amp;B14),"")</f>
        <v/>
      </c>
      <c r="AB14" s="8">
        <f>IF(AA14="","",IF(COUNTIF(Tavoli!$E$2:$AB$41,AA14)=0,"Da assegnare",IF(COUNTIF(Tavoli!$E$2:$AB$41,AA14)&gt;1,"DUPLICATO","Tavolo "&amp;SUMPRODUCT((Tavoli!$E$2:$AB$41=AA14)*Tavoli!$A$2:$A$41))))</f>
        <v/>
      </c>
    </row>
    <row r="15">
      <c r="A15" s="6" t="inlineStr">
        <is>
          <t>Giorgio</t>
        </is>
      </c>
      <c r="B15" s="6" t="inlineStr">
        <is>
          <t>Fontana</t>
        </is>
      </c>
      <c r="C15" s="6" t="inlineStr">
        <is>
          <t>Adulto</t>
        </is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6" t="n"/>
      <c r="Z15" s="6" t="n"/>
      <c r="AA15" s="8">
        <f>IF(OR(A15&lt;&gt;"",B15&lt;&gt;""),TRIM(A15&amp;" "&amp;B15),"")</f>
        <v/>
      </c>
      <c r="AB15" s="8">
        <f>IF(AA15="","",IF(COUNTIF(Tavoli!$E$2:$AB$41,AA15)=0,"Da assegnare",IF(COUNTIF(Tavoli!$E$2:$AB$41,AA15)&gt;1,"DUPLICATO","Tavolo "&amp;SUMPRODUCT((Tavoli!$E$2:$AB$41=AA15)*Tavoli!$A$2:$A$41))))</f>
        <v/>
      </c>
    </row>
    <row r="16">
      <c r="A16" s="6" t="inlineStr">
        <is>
          <t>Giorgio</t>
        </is>
      </c>
      <c r="B16" s="6" t="inlineStr">
        <is>
          <t>Gentile</t>
        </is>
      </c>
      <c r="C16" s="6" t="inlineStr">
        <is>
          <t>Adulto</t>
        </is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6" t="n"/>
      <c r="Z16" s="6" t="n"/>
      <c r="AA16" s="8">
        <f>IF(OR(A16&lt;&gt;"",B16&lt;&gt;""),TRIM(A16&amp;" "&amp;B16),"")</f>
        <v/>
      </c>
      <c r="AB16" s="8">
        <f>IF(AA16="","",IF(COUNTIF(Tavoli!$E$2:$AB$41,AA16)=0,"Da assegnare",IF(COUNTIF(Tavoli!$E$2:$AB$41,AA16)&gt;1,"DUPLICATO","Tavolo "&amp;SUMPRODUCT((Tavoli!$E$2:$AB$41=AA16)*Tavoli!$A$2:$A$41))))</f>
        <v/>
      </c>
    </row>
    <row r="17">
      <c r="A17" s="6" t="inlineStr">
        <is>
          <t>Beatrice</t>
        </is>
      </c>
      <c r="B17" s="6" t="inlineStr">
        <is>
          <t>Longo</t>
        </is>
      </c>
      <c r="C17" s="6" t="inlineStr">
        <is>
          <t>Adulto</t>
        </is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6" t="n"/>
      <c r="Z17" s="6" t="n"/>
      <c r="AA17" s="8">
        <f>IF(OR(A17&lt;&gt;"",B17&lt;&gt;""),TRIM(A17&amp;" "&amp;B17),"")</f>
        <v/>
      </c>
      <c r="AB17" s="8">
        <f>IF(AA17="","",IF(COUNTIF(Tavoli!$E$2:$AB$41,AA17)=0,"Da assegnare",IF(COUNTIF(Tavoli!$E$2:$AB$41,AA17)&gt;1,"DUPLICATO","Tavolo "&amp;SUMPRODUCT((Tavoli!$E$2:$AB$41=AA17)*Tavoli!$A$2:$A$41))))</f>
        <v/>
      </c>
    </row>
    <row r="18">
      <c r="A18" s="6" t="inlineStr">
        <is>
          <t>Paolo</t>
        </is>
      </c>
      <c r="B18" s="6" t="inlineStr">
        <is>
          <t>Conti</t>
        </is>
      </c>
      <c r="C18" s="6" t="inlineStr">
        <is>
          <t>Adulto</t>
        </is>
      </c>
      <c r="D18" s="6" t="inlineStr">
        <is>
          <t>Vegetariano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6" t="n"/>
      <c r="Z18" s="6" t="n"/>
      <c r="AA18" s="8">
        <f>IF(OR(A18&lt;&gt;"",B18&lt;&gt;""),TRIM(A18&amp;" "&amp;B18),"")</f>
        <v/>
      </c>
      <c r="AB18" s="8">
        <f>IF(AA18="","",IF(COUNTIF(Tavoli!$E$2:$AB$41,AA18)=0,"Da assegnare",IF(COUNTIF(Tavoli!$E$2:$AB$41,AA18)&gt;1,"DUPLICATO","Tavolo "&amp;SUMPRODUCT((Tavoli!$E$2:$AB$41=AA18)*Tavoli!$A$2:$A$41))))</f>
        <v/>
      </c>
    </row>
    <row r="19">
      <c r="A19" s="6" t="inlineStr">
        <is>
          <t>Fabio</t>
        </is>
      </c>
      <c r="B19" s="6" t="inlineStr">
        <is>
          <t>Colombo</t>
        </is>
      </c>
      <c r="C19" s="6" t="inlineStr">
        <is>
          <t>Adulto</t>
        </is>
      </c>
      <c r="D19" s="6" t="n"/>
      <c r="E19" s="7" t="n"/>
      <c r="F19" s="7" t="n"/>
      <c r="G19" s="7" t="n"/>
      <c r="H19" s="7" t="n"/>
      <c r="I19" s="7" t="n"/>
      <c r="J19" s="7" t="n"/>
      <c r="K19" s="7" t="inlineStr">
        <is>
          <t>X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6" t="n"/>
      <c r="Z19" s="6" t="n"/>
      <c r="AA19" s="8">
        <f>IF(OR(A19&lt;&gt;"",B19&lt;&gt;""),TRIM(A19&amp;" "&amp;B19),"")</f>
        <v/>
      </c>
      <c r="AB19" s="8">
        <f>IF(AA19="","",IF(COUNTIF(Tavoli!$E$2:$AB$41,AA19)=0,"Da assegnare",IF(COUNTIF(Tavoli!$E$2:$AB$41,AA19)&gt;1,"DUPLICATO","Tavolo "&amp;SUMPRODUCT((Tavoli!$E$2:$AB$41=AA19)*Tavoli!$A$2:$A$41))))</f>
        <v/>
      </c>
    </row>
    <row r="20">
      <c r="A20" s="6" t="inlineStr">
        <is>
          <t>Luca</t>
        </is>
      </c>
      <c r="B20" s="6" t="inlineStr">
        <is>
          <t>Marino</t>
        </is>
      </c>
      <c r="C20" s="6" t="inlineStr">
        <is>
          <t>Adulto</t>
        </is>
      </c>
      <c r="D20" s="6" t="inlineStr">
        <is>
          <t>Vegano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inlineStr">
        <is>
          <t>X</t>
        </is>
      </c>
      <c r="V20" s="7" t="n"/>
      <c r="W20" s="7" t="n"/>
      <c r="X20" s="7" t="n"/>
      <c r="Y20" s="6" t="n"/>
      <c r="Z20" s="6" t="n"/>
      <c r="AA20" s="8">
        <f>IF(OR(A20&lt;&gt;"",B20&lt;&gt;""),TRIM(A20&amp;" "&amp;B20),"")</f>
        <v/>
      </c>
      <c r="AB20" s="8">
        <f>IF(AA20="","",IF(COUNTIF(Tavoli!$E$2:$AB$41,AA20)=0,"Da assegnare",IF(COUNTIF(Tavoli!$E$2:$AB$41,AA20)&gt;1,"DUPLICATO","Tavolo "&amp;SUMPRODUCT((Tavoli!$E$2:$AB$41=AA20)*Tavoli!$A$2:$A$41))))</f>
        <v/>
      </c>
    </row>
    <row r="21">
      <c r="A21" s="6" t="inlineStr">
        <is>
          <t>Alessio</t>
        </is>
      </c>
      <c r="B21" s="6" t="inlineStr">
        <is>
          <t>Caruso</t>
        </is>
      </c>
      <c r="C21" s="6" t="inlineStr">
        <is>
          <t>Adulto</t>
        </is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6" t="n"/>
      <c r="Z21" s="6" t="n"/>
      <c r="AA21" s="8">
        <f>IF(OR(A21&lt;&gt;"",B21&lt;&gt;""),TRIM(A21&amp;" "&amp;B21),"")</f>
        <v/>
      </c>
      <c r="AB21" s="8">
        <f>IF(AA21="","",IF(COUNTIF(Tavoli!$E$2:$AB$41,AA21)=0,"Da assegnare",IF(COUNTIF(Tavoli!$E$2:$AB$41,AA21)&gt;1,"DUPLICATO","Tavolo "&amp;SUMPRODUCT((Tavoli!$E$2:$AB$41=AA21)*Tavoli!$A$2:$A$41))))</f>
        <v/>
      </c>
    </row>
    <row r="22">
      <c r="A22" s="6" t="inlineStr">
        <is>
          <t>Fabio</t>
        </is>
      </c>
      <c r="B22" s="6" t="inlineStr">
        <is>
          <t>Rizzo</t>
        </is>
      </c>
      <c r="C22" s="6" t="inlineStr">
        <is>
          <t>Bambino</t>
        </is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6" t="n"/>
      <c r="Z22" s="6" t="n"/>
      <c r="AA22" s="8">
        <f>IF(OR(A22&lt;&gt;"",B22&lt;&gt;""),TRIM(A22&amp;" "&amp;B22),"")</f>
        <v/>
      </c>
      <c r="AB22" s="8">
        <f>IF(AA22="","",IF(COUNTIF(Tavoli!$E$2:$AB$41,AA22)=0,"Da assegnare",IF(COUNTIF(Tavoli!$E$2:$AB$41,AA22)&gt;1,"DUPLICATO","Tavolo "&amp;SUMPRODUCT((Tavoli!$E$2:$AB$41=AA22)*Tavoli!$A$2:$A$41))))</f>
        <v/>
      </c>
    </row>
    <row r="23">
      <c r="A23" s="6" t="inlineStr">
        <is>
          <t>Francesca</t>
        </is>
      </c>
      <c r="B23" s="6" t="inlineStr">
        <is>
          <t>Martinelli</t>
        </is>
      </c>
      <c r="C23" s="6" t="inlineStr">
        <is>
          <t>Adulto</t>
        </is>
      </c>
      <c r="D23" s="6" t="n"/>
      <c r="E23" s="7" t="n"/>
      <c r="F23" s="7" t="n"/>
      <c r="G23" s="7" t="n"/>
      <c r="H23" s="7" t="inlineStr">
        <is>
          <t>X</t>
        </is>
      </c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inlineStr">
        <is>
          <t>X</t>
        </is>
      </c>
      <c r="V23" s="7" t="n"/>
      <c r="W23" s="7" t="n"/>
      <c r="X23" s="7" t="n"/>
      <c r="Y23" s="6" t="n"/>
      <c r="Z23" s="6" t="n"/>
      <c r="AA23" s="8">
        <f>IF(OR(A23&lt;&gt;"",B23&lt;&gt;""),TRIM(A23&amp;" "&amp;B23),"")</f>
        <v/>
      </c>
      <c r="AB23" s="8">
        <f>IF(AA23="","",IF(COUNTIF(Tavoli!$E$2:$AB$41,AA23)=0,"Da assegnare",IF(COUNTIF(Tavoli!$E$2:$AB$41,AA23)&gt;1,"DUPLICATO","Tavolo "&amp;SUMPRODUCT((Tavoli!$E$2:$AB$41=AA23)*Tavoli!$A$2:$A$41))))</f>
        <v/>
      </c>
    </row>
    <row r="24">
      <c r="A24" s="6" t="inlineStr">
        <is>
          <t>Beatrice</t>
        </is>
      </c>
      <c r="B24" s="6" t="inlineStr">
        <is>
          <t>Rinaldi</t>
        </is>
      </c>
      <c r="C24" s="6" t="inlineStr">
        <is>
          <t>Adulto</t>
        </is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6" t="n"/>
      <c r="Z24" s="6" t="n"/>
      <c r="AA24" s="8">
        <f>IF(OR(A24&lt;&gt;"",B24&lt;&gt;""),TRIM(A24&amp;" "&amp;B24),"")</f>
        <v/>
      </c>
      <c r="AB24" s="8">
        <f>IF(AA24="","",IF(COUNTIF(Tavoli!$E$2:$AB$41,AA24)=0,"Da assegnare",IF(COUNTIF(Tavoli!$E$2:$AB$41,AA24)&gt;1,"DUPLICATO","Tavolo "&amp;SUMPRODUCT((Tavoli!$E$2:$AB$41=AA24)*Tavoli!$A$2:$A$41))))</f>
        <v/>
      </c>
    </row>
    <row r="25">
      <c r="A25" s="6" t="inlineStr">
        <is>
          <t>Fabio</t>
        </is>
      </c>
      <c r="B25" s="6" t="inlineStr">
        <is>
          <t>Vitale</t>
        </is>
      </c>
      <c r="C25" s="6" t="inlineStr">
        <is>
          <t>Adulto</t>
        </is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6" t="n"/>
      <c r="Z25" s="6" t="n"/>
      <c r="AA25" s="8">
        <f>IF(OR(A25&lt;&gt;"",B25&lt;&gt;""),TRIM(A25&amp;" "&amp;B25),"")</f>
        <v/>
      </c>
      <c r="AB25" s="8">
        <f>IF(AA25="","",IF(COUNTIF(Tavoli!$E$2:$AB$41,AA25)=0,"Da assegnare",IF(COUNTIF(Tavoli!$E$2:$AB$41,AA25)&gt;1,"DUPLICATO","Tavolo "&amp;SUMPRODUCT((Tavoli!$E$2:$AB$41=AA25)*Tavoli!$A$2:$A$41))))</f>
        <v/>
      </c>
    </row>
    <row r="26">
      <c r="A26" s="6" t="inlineStr">
        <is>
          <t>Beatrice</t>
        </is>
      </c>
      <c r="B26" s="6" t="inlineStr">
        <is>
          <t>Luca</t>
        </is>
      </c>
      <c r="C26" s="6" t="inlineStr">
        <is>
          <t>Adulto</t>
        </is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6" t="n"/>
      <c r="Z26" s="6" t="n"/>
      <c r="AA26" s="8">
        <f>IF(OR(A26&lt;&gt;"",B26&lt;&gt;""),TRIM(A26&amp;" "&amp;B26),"")</f>
        <v/>
      </c>
      <c r="AB26" s="8">
        <f>IF(AA26="","",IF(COUNTIF(Tavoli!$E$2:$AB$41,AA26)=0,"Da assegnare",IF(COUNTIF(Tavoli!$E$2:$AB$41,AA26)&gt;1,"DUPLICATO","Tavolo "&amp;SUMPRODUCT((Tavoli!$E$2:$AB$41=AA26)*Tavoli!$A$2:$A$41))))</f>
        <v/>
      </c>
    </row>
    <row r="27">
      <c r="A27" s="6" t="inlineStr">
        <is>
          <t>Elena</t>
        </is>
      </c>
      <c r="B27" s="6" t="inlineStr">
        <is>
          <t>Martini</t>
        </is>
      </c>
      <c r="C27" s="6" t="inlineStr">
        <is>
          <t>Adulto</t>
        </is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6" t="n"/>
      <c r="Z27" s="6" t="n"/>
      <c r="AA27" s="8">
        <f>IF(OR(A27&lt;&gt;"",B27&lt;&gt;""),TRIM(A27&amp;" "&amp;B27),"")</f>
        <v/>
      </c>
      <c r="AB27" s="8">
        <f>IF(AA27="","",IF(COUNTIF(Tavoli!$E$2:$AB$41,AA27)=0,"Da assegnare",IF(COUNTIF(Tavoli!$E$2:$AB$41,AA27)&gt;1,"DUPLICATO","Tavolo "&amp;SUMPRODUCT((Tavoli!$E$2:$AB$41=AA27)*Tavoli!$A$2:$A$41))))</f>
        <v/>
      </c>
    </row>
    <row r="28">
      <c r="A28" s="6" t="inlineStr">
        <is>
          <t>Beatrice</t>
        </is>
      </c>
      <c r="B28" s="6" t="inlineStr">
        <is>
          <t>Greco</t>
        </is>
      </c>
      <c r="C28" s="6" t="inlineStr">
        <is>
          <t>Adulto</t>
        </is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X</t>
        </is>
      </c>
      <c r="Y28" s="6" t="n"/>
      <c r="Z28" s="6" t="n"/>
      <c r="AA28" s="8">
        <f>IF(OR(A28&lt;&gt;"",B28&lt;&gt;""),TRIM(A28&amp;" "&amp;B28),"")</f>
        <v/>
      </c>
      <c r="AB28" s="8">
        <f>IF(AA28="","",IF(COUNTIF(Tavoli!$E$2:$AB$41,AA28)=0,"Da assegnare",IF(COUNTIF(Tavoli!$E$2:$AB$41,AA28)&gt;1,"DUPLICATO","Tavolo "&amp;SUMPRODUCT((Tavoli!$E$2:$AB$41=AA28)*Tavoli!$A$2:$A$41))))</f>
        <v/>
      </c>
    </row>
    <row r="29">
      <c r="A29" s="6" t="inlineStr">
        <is>
          <t>Giulia</t>
        </is>
      </c>
      <c r="B29" s="6" t="inlineStr">
        <is>
          <t>Lombardi</t>
        </is>
      </c>
      <c r="C29" s="6" t="inlineStr">
        <is>
          <t>Adulto</t>
        </is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6" t="n"/>
      <c r="Z29" s="6" t="n"/>
      <c r="AA29" s="8">
        <f>IF(OR(A29&lt;&gt;"",B29&lt;&gt;""),TRIM(A29&amp;" "&amp;B29),"")</f>
        <v/>
      </c>
      <c r="AB29" s="8">
        <f>IF(AA29="","",IF(COUNTIF(Tavoli!$E$2:$AB$41,AA29)=0,"Da assegnare",IF(COUNTIF(Tavoli!$E$2:$AB$41,AA29)&gt;1,"DUPLICATO","Tavolo "&amp;SUMPRODUCT((Tavoli!$E$2:$AB$41=AA29)*Tavoli!$A$2:$A$41))))</f>
        <v/>
      </c>
    </row>
    <row r="30">
      <c r="A30" s="6" t="inlineStr">
        <is>
          <t>Simone</t>
        </is>
      </c>
      <c r="B30" s="6" t="inlineStr">
        <is>
          <t>Lombardo</t>
        </is>
      </c>
      <c r="C30" s="6" t="inlineStr">
        <is>
          <t>Adulto</t>
        </is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6" t="n"/>
      <c r="Z30" s="6" t="n"/>
      <c r="AA30" s="8">
        <f>IF(OR(A30&lt;&gt;"",B30&lt;&gt;""),TRIM(A30&amp;" "&amp;B30),"")</f>
        <v/>
      </c>
      <c r="AB30" s="8">
        <f>IF(AA30="","",IF(COUNTIF(Tavoli!$E$2:$AB$41,AA30)=0,"Da assegnare",IF(COUNTIF(Tavoli!$E$2:$AB$41,AA30)&gt;1,"DUPLICATO","Tavolo "&amp;SUMPRODUCT((Tavoli!$E$2:$AB$41=AA30)*Tavoli!$A$2:$A$41))))</f>
        <v/>
      </c>
    </row>
    <row r="31">
      <c r="A31" s="6" t="inlineStr">
        <is>
          <t>Davide</t>
        </is>
      </c>
      <c r="B31" s="6" t="inlineStr">
        <is>
          <t>Mancini</t>
        </is>
      </c>
      <c r="C31" s="6" t="inlineStr">
        <is>
          <t>Adulto</t>
        </is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6" t="n"/>
      <c r="Z31" s="6" t="n"/>
      <c r="AA31" s="8">
        <f>IF(OR(A31&lt;&gt;"",B31&lt;&gt;""),TRIM(A31&amp;" "&amp;B31),"")</f>
        <v/>
      </c>
      <c r="AB31" s="8">
        <f>IF(AA31="","",IF(COUNTIF(Tavoli!$E$2:$AB$41,AA31)=0,"Da assegnare",IF(COUNTIF(Tavoli!$E$2:$AB$41,AA31)&gt;1,"DUPLICATO","Tavolo "&amp;SUMPRODUCT((Tavoli!$E$2:$AB$41=AA31)*Tavoli!$A$2:$A$41))))</f>
        <v/>
      </c>
    </row>
    <row r="32">
      <c r="A32" s="6" t="inlineStr">
        <is>
          <t>Marta</t>
        </is>
      </c>
      <c r="B32" s="6" t="inlineStr">
        <is>
          <t>Giordano</t>
        </is>
      </c>
      <c r="C32" s="6" t="inlineStr">
        <is>
          <t>Adulto</t>
        </is>
      </c>
      <c r="D32" s="6" t="inlineStr">
        <is>
          <t>Vegetariano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inlineStr">
        <is>
          <t>X</t>
        </is>
      </c>
      <c r="U32" s="7" t="n"/>
      <c r="V32" s="7" t="n"/>
      <c r="W32" s="7" t="n"/>
      <c r="X32" s="7" t="n"/>
      <c r="Y32" s="6" t="n"/>
      <c r="Z32" s="6" t="n"/>
      <c r="AA32" s="8">
        <f>IF(OR(A32&lt;&gt;"",B32&lt;&gt;""),TRIM(A32&amp;" "&amp;B32),"")</f>
        <v/>
      </c>
      <c r="AB32" s="8">
        <f>IF(AA32="","",IF(COUNTIF(Tavoli!$E$2:$AB$41,AA32)=0,"Da assegnare",IF(COUNTIF(Tavoli!$E$2:$AB$41,AA32)&gt;1,"DUPLICATO","Tavolo "&amp;SUMPRODUCT((Tavoli!$E$2:$AB$41=AA32)*Tavoli!$A$2:$A$41))))</f>
        <v/>
      </c>
    </row>
    <row r="33">
      <c r="A33" s="6" t="inlineStr">
        <is>
          <t>Simone</t>
        </is>
      </c>
      <c r="B33" s="6" t="inlineStr">
        <is>
          <t>Giordano</t>
        </is>
      </c>
      <c r="C33" s="6" t="inlineStr">
        <is>
          <t>Bambino</t>
        </is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6" t="n"/>
      <c r="Z33" s="6" t="n"/>
      <c r="AA33" s="8">
        <f>IF(OR(A33&lt;&gt;"",B33&lt;&gt;""),TRIM(A33&amp;" "&amp;B33),"")</f>
        <v/>
      </c>
      <c r="AB33" s="8">
        <f>IF(AA33="","",IF(COUNTIF(Tavoli!$E$2:$AB$41,AA33)=0,"Da assegnare",IF(COUNTIF(Tavoli!$E$2:$AB$41,AA33)&gt;1,"DUPLICATO","Tavolo "&amp;SUMPRODUCT((Tavoli!$E$2:$AB$41=AA33)*Tavoli!$A$2:$A$41))))</f>
        <v/>
      </c>
    </row>
    <row r="34">
      <c r="A34" s="6" t="inlineStr">
        <is>
          <t>Alessio</t>
        </is>
      </c>
      <c r="B34" s="6" t="inlineStr">
        <is>
          <t>Rizzo</t>
        </is>
      </c>
      <c r="C34" s="6" t="inlineStr">
        <is>
          <t>Adulto</t>
        </is>
      </c>
      <c r="D34" s="6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6" t="n"/>
      <c r="Z34" s="6" t="n"/>
      <c r="AA34" s="8">
        <f>IF(OR(A34&lt;&gt;"",B34&lt;&gt;""),TRIM(A34&amp;" "&amp;B34),"")</f>
        <v/>
      </c>
      <c r="AB34" s="8">
        <f>IF(AA34="","",IF(COUNTIF(Tavoli!$E$2:$AB$41,AA34)=0,"Da assegnare",IF(COUNTIF(Tavoli!$E$2:$AB$41,AA34)&gt;1,"DUPLICATO","Tavolo "&amp;SUMPRODUCT((Tavoli!$E$2:$AB$41=AA34)*Tavoli!$A$2:$A$41))))</f>
        <v/>
      </c>
    </row>
    <row r="35">
      <c r="A35" s="6" t="inlineStr">
        <is>
          <t>Luca</t>
        </is>
      </c>
      <c r="B35" s="6" t="inlineStr">
        <is>
          <t>De</t>
        </is>
      </c>
      <c r="C35" s="6" t="inlineStr">
        <is>
          <t>Adulto</t>
        </is>
      </c>
      <c r="D35" s="6" t="n"/>
      <c r="E35" s="7" t="n"/>
      <c r="F35" s="7" t="n"/>
      <c r="G35" s="7" t="n"/>
      <c r="H35" s="7" t="n"/>
      <c r="I35" s="7" t="n"/>
      <c r="J35" s="7" t="n"/>
      <c r="K35" s="7" t="inlineStr">
        <is>
          <t>X</t>
        </is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6" t="n"/>
      <c r="Z35" s="6" t="n"/>
      <c r="AA35" s="8">
        <f>IF(OR(A35&lt;&gt;"",B35&lt;&gt;""),TRIM(A35&amp;" "&amp;B35),"")</f>
        <v/>
      </c>
      <c r="AB35" s="8">
        <f>IF(AA35="","",IF(COUNTIF(Tavoli!$E$2:$AB$41,AA35)=0,"Da assegnare",IF(COUNTIF(Tavoli!$E$2:$AB$41,AA35)&gt;1,"DUPLICATO","Tavolo "&amp;SUMPRODUCT((Tavoli!$E$2:$AB$41=AA35)*Tavoli!$A$2:$A$41))))</f>
        <v/>
      </c>
    </row>
    <row r="36">
      <c r="A36" s="6" t="inlineStr">
        <is>
          <t>Francesca</t>
        </is>
      </c>
      <c r="B36" s="6" t="inlineStr">
        <is>
          <t>Rossi</t>
        </is>
      </c>
      <c r="C36" s="6" t="inlineStr">
        <is>
          <t>Adulto</t>
        </is>
      </c>
      <c r="D36" s="6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6" t="n"/>
      <c r="Z36" s="6" t="n"/>
      <c r="AA36" s="8">
        <f>IF(OR(A36&lt;&gt;"",B36&lt;&gt;""),TRIM(A36&amp;" "&amp;B36),"")</f>
        <v/>
      </c>
      <c r="AB36" s="8">
        <f>IF(AA36="","",IF(COUNTIF(Tavoli!$E$2:$AB$41,AA36)=0,"Da assegnare",IF(COUNTIF(Tavoli!$E$2:$AB$41,AA36)&gt;1,"DUPLICATO","Tavolo "&amp;SUMPRODUCT((Tavoli!$E$2:$AB$41=AA36)*Tavoli!$A$2:$A$41))))</f>
        <v/>
      </c>
    </row>
    <row r="37">
      <c r="A37" s="6" t="inlineStr">
        <is>
          <t>Nicola</t>
        </is>
      </c>
      <c r="B37" s="6" t="inlineStr">
        <is>
          <t>Coppola</t>
        </is>
      </c>
      <c r="C37" s="6" t="inlineStr">
        <is>
          <t>Adulto</t>
        </is>
      </c>
      <c r="D37" s="6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6" t="n"/>
      <c r="Z37" s="6" t="n"/>
      <c r="AA37" s="8">
        <f>IF(OR(A37&lt;&gt;"",B37&lt;&gt;""),TRIM(A37&amp;" "&amp;B37),"")</f>
        <v/>
      </c>
      <c r="AB37" s="8">
        <f>IF(AA37="","",IF(COUNTIF(Tavoli!$E$2:$AB$41,AA37)=0,"Da assegnare",IF(COUNTIF(Tavoli!$E$2:$AB$41,AA37)&gt;1,"DUPLICATO","Tavolo "&amp;SUMPRODUCT((Tavoli!$E$2:$AB$41=AA37)*Tavoli!$A$2:$A$41))))</f>
        <v/>
      </c>
    </row>
    <row r="38">
      <c r="A38" s="6" t="inlineStr">
        <is>
          <t>Martina</t>
        </is>
      </c>
      <c r="B38" s="6" t="inlineStr">
        <is>
          <t>Caruso</t>
        </is>
      </c>
      <c r="C38" s="6" t="inlineStr">
        <is>
          <t>Adulto</t>
        </is>
      </c>
      <c r="D38" s="6" t="inlineStr">
        <is>
          <t>Vegano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6" t="n"/>
      <c r="Z38" s="6" t="n"/>
      <c r="AA38" s="8">
        <f>IF(OR(A38&lt;&gt;"",B38&lt;&gt;""),TRIM(A38&amp;" "&amp;B38),"")</f>
        <v/>
      </c>
      <c r="AB38" s="8">
        <f>IF(AA38="","",IF(COUNTIF(Tavoli!$E$2:$AB$41,AA38)=0,"Da assegnare",IF(COUNTIF(Tavoli!$E$2:$AB$41,AA38)&gt;1,"DUPLICATO","Tavolo "&amp;SUMPRODUCT((Tavoli!$E$2:$AB$41=AA38)*Tavoli!$A$2:$A$41))))</f>
        <v/>
      </c>
    </row>
    <row r="39">
      <c r="A39" s="6" t="inlineStr">
        <is>
          <t>Stefano</t>
        </is>
      </c>
      <c r="B39" s="6" t="inlineStr">
        <is>
          <t>De</t>
        </is>
      </c>
      <c r="C39" s="6" t="inlineStr">
        <is>
          <t>Adulto</t>
        </is>
      </c>
      <c r="D39" s="6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6" t="n"/>
      <c r="Z39" s="6" t="n"/>
      <c r="AA39" s="8">
        <f>IF(OR(A39&lt;&gt;"",B39&lt;&gt;""),TRIM(A39&amp;" "&amp;B39),"")</f>
        <v/>
      </c>
      <c r="AB39" s="8">
        <f>IF(AA39="","",IF(COUNTIF(Tavoli!$E$2:$AB$41,AA39)=0,"Da assegnare",IF(COUNTIF(Tavoli!$E$2:$AB$41,AA39)&gt;1,"DUPLICATO","Tavolo "&amp;SUMPRODUCT((Tavoli!$E$2:$AB$41=AA39)*Tavoli!$A$2:$A$41))))</f>
        <v/>
      </c>
    </row>
    <row r="40">
      <c r="A40" s="6" t="inlineStr">
        <is>
          <t>Alessio</t>
        </is>
      </c>
      <c r="B40" s="6" t="inlineStr">
        <is>
          <t>Longo</t>
        </is>
      </c>
      <c r="C40" s="6" t="inlineStr">
        <is>
          <t>Adulto</t>
        </is>
      </c>
      <c r="D40" s="6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6" t="n"/>
      <c r="Z40" s="6" t="n"/>
      <c r="AA40" s="8">
        <f>IF(OR(A40&lt;&gt;"",B40&lt;&gt;""),TRIM(A40&amp;" "&amp;B40),"")</f>
        <v/>
      </c>
      <c r="AB40" s="8">
        <f>IF(AA40="","",IF(COUNTIF(Tavoli!$E$2:$AB$41,AA40)=0,"Da assegnare",IF(COUNTIF(Tavoli!$E$2:$AB$41,AA40)&gt;1,"DUPLICATO","Tavolo "&amp;SUMPRODUCT((Tavoli!$E$2:$AB$41=AA40)*Tavoli!$A$2:$A$41))))</f>
        <v/>
      </c>
    </row>
    <row r="41">
      <c r="A41" s="6" t="inlineStr">
        <is>
          <t>Giorgio</t>
        </is>
      </c>
      <c r="B41" s="6" t="inlineStr">
        <is>
          <t>Giordano</t>
        </is>
      </c>
      <c r="C41" s="6" t="inlineStr">
        <is>
          <t>Adulto</t>
        </is>
      </c>
      <c r="D41" s="6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6" t="n"/>
      <c r="Z41" s="6" t="n"/>
      <c r="AA41" s="8">
        <f>IF(OR(A41&lt;&gt;"",B41&lt;&gt;""),TRIM(A41&amp;" "&amp;B41),"")</f>
        <v/>
      </c>
      <c r="AB41" s="8">
        <f>IF(AA41="","",IF(COUNTIF(Tavoli!$E$2:$AB$41,AA41)=0,"Da assegnare",IF(COUNTIF(Tavoli!$E$2:$AB$41,AA41)&gt;1,"DUPLICATO","Tavolo "&amp;SUMPRODUCT((Tavoli!$E$2:$AB$41=AA41)*Tavoli!$A$2:$A$41))))</f>
        <v/>
      </c>
    </row>
    <row r="42">
      <c r="A42" s="6" t="inlineStr">
        <is>
          <t>Chiara</t>
        </is>
      </c>
      <c r="B42" s="6" t="inlineStr">
        <is>
          <t>Romano</t>
        </is>
      </c>
      <c r="C42" s="6" t="inlineStr">
        <is>
          <t>Adulto</t>
        </is>
      </c>
      <c r="D42" s="6" t="inlineStr">
        <is>
          <t>Vegano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6" t="n"/>
      <c r="Z42" s="6" t="n"/>
      <c r="AA42" s="8">
        <f>IF(OR(A42&lt;&gt;"",B42&lt;&gt;""),TRIM(A42&amp;" "&amp;B42),"")</f>
        <v/>
      </c>
      <c r="AB42" s="8">
        <f>IF(AA42="","",IF(COUNTIF(Tavoli!$E$2:$AB$41,AA42)=0,"Da assegnare",IF(COUNTIF(Tavoli!$E$2:$AB$41,AA42)&gt;1,"DUPLICATO","Tavolo "&amp;SUMPRODUCT((Tavoli!$E$2:$AB$41=AA42)*Tavoli!$A$2:$A$41))))</f>
        <v/>
      </c>
    </row>
    <row r="43">
      <c r="A43" s="6" t="inlineStr">
        <is>
          <t>Stefano</t>
        </is>
      </c>
      <c r="B43" s="6" t="inlineStr">
        <is>
          <t>Moretti</t>
        </is>
      </c>
      <c r="C43" s="6" t="inlineStr">
        <is>
          <t>Adulto</t>
        </is>
      </c>
      <c r="D43" s="6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6" t="n"/>
      <c r="Z43" s="6" t="n"/>
      <c r="AA43" s="8">
        <f>IF(OR(A43&lt;&gt;"",B43&lt;&gt;""),TRIM(A43&amp;" "&amp;B43),"")</f>
        <v/>
      </c>
      <c r="AB43" s="8">
        <f>IF(AA43="","",IF(COUNTIF(Tavoli!$E$2:$AB$41,AA43)=0,"Da assegnare",IF(COUNTIF(Tavoli!$E$2:$AB$41,AA43)&gt;1,"DUPLICATO","Tavolo "&amp;SUMPRODUCT((Tavoli!$E$2:$AB$41=AA43)*Tavoli!$A$2:$A$41))))</f>
        <v/>
      </c>
    </row>
    <row r="44">
      <c r="A44" s="6" t="inlineStr">
        <is>
          <t>Beatrice</t>
        </is>
      </c>
      <c r="B44" s="6" t="inlineStr">
        <is>
          <t>De</t>
        </is>
      </c>
      <c r="C44" s="6" t="inlineStr">
        <is>
          <t>Adulto</t>
        </is>
      </c>
      <c r="D44" s="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6" t="n"/>
      <c r="Z44" s="6" t="n"/>
      <c r="AA44" s="8">
        <f>IF(OR(A44&lt;&gt;"",B44&lt;&gt;""),TRIM(A44&amp;" "&amp;B44),"")</f>
        <v/>
      </c>
      <c r="AB44" s="8">
        <f>IF(AA44="","",IF(COUNTIF(Tavoli!$E$2:$AB$41,AA44)=0,"Da assegnare",IF(COUNTIF(Tavoli!$E$2:$AB$41,AA44)&gt;1,"DUPLICATO","Tavolo "&amp;SUMPRODUCT((Tavoli!$E$2:$AB$41=AA44)*Tavoli!$A$2:$A$41))))</f>
        <v/>
      </c>
    </row>
    <row r="45">
      <c r="A45" s="6" t="inlineStr">
        <is>
          <t>Silvia</t>
        </is>
      </c>
      <c r="B45" s="6" t="inlineStr">
        <is>
          <t>Martinelli</t>
        </is>
      </c>
      <c r="C45" s="6" t="inlineStr">
        <is>
          <t>Adulto</t>
        </is>
      </c>
      <c r="D45" s="6" t="n"/>
      <c r="E45" s="7" t="n"/>
      <c r="F45" s="7" t="inlineStr">
        <is>
          <t>X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inlineStr">
        <is>
          <t>X</t>
        </is>
      </c>
      <c r="Y45" s="6" t="n"/>
      <c r="Z45" s="6" t="n"/>
      <c r="AA45" s="8">
        <f>IF(OR(A45&lt;&gt;"",B45&lt;&gt;""),TRIM(A45&amp;" "&amp;B45),"")</f>
        <v/>
      </c>
      <c r="AB45" s="8">
        <f>IF(AA45="","",IF(COUNTIF(Tavoli!$E$2:$AB$41,AA45)=0,"Da assegnare",IF(COUNTIF(Tavoli!$E$2:$AB$41,AA45)&gt;1,"DUPLICATO","Tavolo "&amp;SUMPRODUCT((Tavoli!$E$2:$AB$41=AA45)*Tavoli!$A$2:$A$41))))</f>
        <v/>
      </c>
    </row>
    <row r="46">
      <c r="A46" s="6" t="inlineStr">
        <is>
          <t>Gabriele</t>
        </is>
      </c>
      <c r="B46" s="6" t="inlineStr">
        <is>
          <t>Giordano</t>
        </is>
      </c>
      <c r="C46" s="6" t="inlineStr">
        <is>
          <t>Adulto</t>
        </is>
      </c>
      <c r="D46" s="6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6" t="n"/>
      <c r="Z46" s="6" t="n"/>
      <c r="AA46" s="8">
        <f>IF(OR(A46&lt;&gt;"",B46&lt;&gt;""),TRIM(A46&amp;" "&amp;B46),"")</f>
        <v/>
      </c>
      <c r="AB46" s="8">
        <f>IF(AA46="","",IF(COUNTIF(Tavoli!$E$2:$AB$41,AA46)=0,"Da assegnare",IF(COUNTIF(Tavoli!$E$2:$AB$41,AA46)&gt;1,"DUPLICATO","Tavolo "&amp;SUMPRODUCT((Tavoli!$E$2:$AB$41=AA46)*Tavoli!$A$2:$A$41))))</f>
        <v/>
      </c>
    </row>
    <row r="47">
      <c r="A47" s="6" t="inlineStr">
        <is>
          <t>Andrea</t>
        </is>
      </c>
      <c r="B47" s="6" t="inlineStr">
        <is>
          <t>Galli</t>
        </is>
      </c>
      <c r="C47" s="6" t="inlineStr">
        <is>
          <t>Bambino</t>
        </is>
      </c>
      <c r="D47" s="6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inlineStr">
        <is>
          <t>X</t>
        </is>
      </c>
      <c r="W47" s="7" t="n"/>
      <c r="X47" s="7" t="n"/>
      <c r="Y47" s="6" t="n"/>
      <c r="Z47" s="6" t="n"/>
      <c r="AA47" s="8">
        <f>IF(OR(A47&lt;&gt;"",B47&lt;&gt;""),TRIM(A47&amp;" "&amp;B47),"")</f>
        <v/>
      </c>
      <c r="AB47" s="8">
        <f>IF(AA47="","",IF(COUNTIF(Tavoli!$E$2:$AB$41,AA47)=0,"Da assegnare",IF(COUNTIF(Tavoli!$E$2:$AB$41,AA47)&gt;1,"DUPLICATO","Tavolo "&amp;SUMPRODUCT((Tavoli!$E$2:$AB$41=AA47)*Tavoli!$A$2:$A$41))))</f>
        <v/>
      </c>
    </row>
    <row r="48">
      <c r="A48" s="6" t="inlineStr">
        <is>
          <t>Alice</t>
        </is>
      </c>
      <c r="B48" s="6" t="inlineStr">
        <is>
          <t>Romano</t>
        </is>
      </c>
      <c r="C48" s="6" t="inlineStr">
        <is>
          <t>Adulto</t>
        </is>
      </c>
      <c r="D48" s="6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6" t="n"/>
      <c r="Z48" s="6" t="n"/>
      <c r="AA48" s="8">
        <f>IF(OR(A48&lt;&gt;"",B48&lt;&gt;""),TRIM(A48&amp;" "&amp;B48),"")</f>
        <v/>
      </c>
      <c r="AB48" s="8">
        <f>IF(AA48="","",IF(COUNTIF(Tavoli!$E$2:$AB$41,AA48)=0,"Da assegnare",IF(COUNTIF(Tavoli!$E$2:$AB$41,AA48)&gt;1,"DUPLICATO","Tavolo "&amp;SUMPRODUCT((Tavoli!$E$2:$AB$41=AA48)*Tavoli!$A$2:$A$41))))</f>
        <v/>
      </c>
    </row>
    <row r="49">
      <c r="A49" s="6" t="inlineStr">
        <is>
          <t>Valentina</t>
        </is>
      </c>
      <c r="B49" s="6" t="inlineStr">
        <is>
          <t>De</t>
        </is>
      </c>
      <c r="C49" s="6" t="inlineStr">
        <is>
          <t>Adulto</t>
        </is>
      </c>
      <c r="D49" s="6" t="inlineStr">
        <is>
          <t>Vegano</t>
        </is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6" t="n"/>
      <c r="Z49" s="6" t="n"/>
      <c r="AA49" s="8">
        <f>IF(OR(A49&lt;&gt;"",B49&lt;&gt;""),TRIM(A49&amp;" "&amp;B49),"")</f>
        <v/>
      </c>
      <c r="AB49" s="8">
        <f>IF(AA49="","",IF(COUNTIF(Tavoli!$E$2:$AB$41,AA49)=0,"Da assegnare",IF(COUNTIF(Tavoli!$E$2:$AB$41,AA49)&gt;1,"DUPLICATO","Tavolo "&amp;SUMPRODUCT((Tavoli!$E$2:$AB$41=AA49)*Tavoli!$A$2:$A$41))))</f>
        <v/>
      </c>
    </row>
    <row r="50">
      <c r="A50" s="6" t="inlineStr">
        <is>
          <t>Elena</t>
        </is>
      </c>
      <c r="B50" s="6" t="inlineStr">
        <is>
          <t>Gallo</t>
        </is>
      </c>
      <c r="C50" s="6" t="inlineStr">
        <is>
          <t>Adulto</t>
        </is>
      </c>
      <c r="D50" s="6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6" t="n"/>
      <c r="Z50" s="6" t="n"/>
      <c r="AA50" s="8">
        <f>IF(OR(A50&lt;&gt;"",B50&lt;&gt;""),TRIM(A50&amp;" "&amp;B50),"")</f>
        <v/>
      </c>
      <c r="AB50" s="8">
        <f>IF(AA50="","",IF(COUNTIF(Tavoli!$E$2:$AB$41,AA50)=0,"Da assegnare",IF(COUNTIF(Tavoli!$E$2:$AB$41,AA50)&gt;1,"DUPLICATO","Tavolo "&amp;SUMPRODUCT((Tavoli!$E$2:$AB$41=AA50)*Tavoli!$A$2:$A$41))))</f>
        <v/>
      </c>
    </row>
    <row r="51">
      <c r="A51" s="6" t="inlineStr">
        <is>
          <t>Marco</t>
        </is>
      </c>
      <c r="B51" s="6" t="inlineStr">
        <is>
          <t>Leone</t>
        </is>
      </c>
      <c r="C51" s="6" t="inlineStr">
        <is>
          <t>Adulto</t>
        </is>
      </c>
      <c r="D51" s="6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6" t="n"/>
      <c r="Z51" s="6" t="n"/>
      <c r="AA51" s="8">
        <f>IF(OR(A51&lt;&gt;"",B51&lt;&gt;""),TRIM(A51&amp;" "&amp;B51),"")</f>
        <v/>
      </c>
      <c r="AB51" s="8">
        <f>IF(AA51="","",IF(COUNTIF(Tavoli!$E$2:$AB$41,AA51)=0,"Da assegnare",IF(COUNTIF(Tavoli!$E$2:$AB$41,AA51)&gt;1,"DUPLICATO","Tavolo "&amp;SUMPRODUCT((Tavoli!$E$2:$AB$41=AA51)*Tavoli!$A$2:$A$41))))</f>
        <v/>
      </c>
    </row>
    <row r="52">
      <c r="A52" s="6" t="inlineStr">
        <is>
          <t>Matteo</t>
        </is>
      </c>
      <c r="B52" s="6" t="inlineStr">
        <is>
          <t>Barbieri</t>
        </is>
      </c>
      <c r="C52" s="6" t="inlineStr">
        <is>
          <t>Adulto</t>
        </is>
      </c>
      <c r="D52" s="6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6" t="n"/>
      <c r="Z52" s="6" t="n"/>
      <c r="AA52" s="8">
        <f>IF(OR(A52&lt;&gt;"",B52&lt;&gt;""),TRIM(A52&amp;" "&amp;B52),"")</f>
        <v/>
      </c>
      <c r="AB52" s="8">
        <f>IF(AA52="","",IF(COUNTIF(Tavoli!$E$2:$AB$41,AA52)=0,"Da assegnare",IF(COUNTIF(Tavoli!$E$2:$AB$41,AA52)&gt;1,"DUPLICATO","Tavolo "&amp;SUMPRODUCT((Tavoli!$E$2:$AB$41=AA52)*Tavoli!$A$2:$A$41))))</f>
        <v/>
      </c>
    </row>
    <row r="53">
      <c r="A53" s="6" t="inlineStr">
        <is>
          <t>Elisa</t>
        </is>
      </c>
      <c r="B53" s="6" t="inlineStr">
        <is>
          <t>Rizzo</t>
        </is>
      </c>
      <c r="C53" s="6" t="inlineStr">
        <is>
          <t>Adulto</t>
        </is>
      </c>
      <c r="D53" s="6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6" t="n"/>
      <c r="Z53" s="6" t="n"/>
      <c r="AA53" s="8">
        <f>IF(OR(A53&lt;&gt;"",B53&lt;&gt;""),TRIM(A53&amp;" "&amp;B53),"")</f>
        <v/>
      </c>
      <c r="AB53" s="8">
        <f>IF(AA53="","",IF(COUNTIF(Tavoli!$E$2:$AB$41,AA53)=0,"Da assegnare",IF(COUNTIF(Tavoli!$E$2:$AB$41,AA53)&gt;1,"DUPLICATO","Tavolo "&amp;SUMPRODUCT((Tavoli!$E$2:$AB$41=AA53)*Tavoli!$A$2:$A$41))))</f>
        <v/>
      </c>
    </row>
    <row r="54">
      <c r="A54" s="6" t="inlineStr">
        <is>
          <t>Giulia</t>
        </is>
      </c>
      <c r="B54" s="6" t="inlineStr">
        <is>
          <t>Martini</t>
        </is>
      </c>
      <c r="C54" s="6" t="inlineStr">
        <is>
          <t>Adulto</t>
        </is>
      </c>
      <c r="D54" s="6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6" t="n"/>
      <c r="Z54" s="6" t="n"/>
      <c r="AA54" s="8">
        <f>IF(OR(A54&lt;&gt;"",B54&lt;&gt;""),TRIM(A54&amp;" "&amp;B54),"")</f>
        <v/>
      </c>
      <c r="AB54" s="8">
        <f>IF(AA54="","",IF(COUNTIF(Tavoli!$E$2:$AB$41,AA54)=0,"Da assegnare",IF(COUNTIF(Tavoli!$E$2:$AB$41,AA54)&gt;1,"DUPLICATO","Tavolo "&amp;SUMPRODUCT((Tavoli!$E$2:$AB$41=AA54)*Tavoli!$A$2:$A$41))))</f>
        <v/>
      </c>
    </row>
    <row r="55">
      <c r="A55" s="6" t="inlineStr">
        <is>
          <t>Chiara</t>
        </is>
      </c>
      <c r="B55" s="6" t="inlineStr">
        <is>
          <t>Costa</t>
        </is>
      </c>
      <c r="C55" s="6" t="inlineStr">
        <is>
          <t>Adulto</t>
        </is>
      </c>
      <c r="D55" s="6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6" t="n"/>
      <c r="Z55" s="6" t="n"/>
      <c r="AA55" s="8">
        <f>IF(OR(A55&lt;&gt;"",B55&lt;&gt;""),TRIM(A55&amp;" "&amp;B55),"")</f>
        <v/>
      </c>
      <c r="AB55" s="8">
        <f>IF(AA55="","",IF(COUNTIF(Tavoli!$E$2:$AB$41,AA55)=0,"Da assegnare",IF(COUNTIF(Tavoli!$E$2:$AB$41,AA55)&gt;1,"DUPLICATO","Tavolo "&amp;SUMPRODUCT((Tavoli!$E$2:$AB$41=AA55)*Tavoli!$A$2:$A$41))))</f>
        <v/>
      </c>
    </row>
    <row r="56">
      <c r="A56" s="6" t="inlineStr">
        <is>
          <t>Laura</t>
        </is>
      </c>
      <c r="B56" s="6" t="inlineStr">
        <is>
          <t>Gallo</t>
        </is>
      </c>
      <c r="C56" s="6" t="inlineStr">
        <is>
          <t>Adulto</t>
        </is>
      </c>
      <c r="D56" s="6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6" t="n"/>
      <c r="Z56" s="6" t="n"/>
      <c r="AA56" s="8">
        <f>IF(OR(A56&lt;&gt;"",B56&lt;&gt;""),TRIM(A56&amp;" "&amp;B56),"")</f>
        <v/>
      </c>
      <c r="AB56" s="8">
        <f>IF(AA56="","",IF(COUNTIF(Tavoli!$E$2:$AB$41,AA56)=0,"Da assegnare",IF(COUNTIF(Tavoli!$E$2:$AB$41,AA56)&gt;1,"DUPLICATO","Tavolo "&amp;SUMPRODUCT((Tavoli!$E$2:$AB$41=AA56)*Tavoli!$A$2:$A$41))))</f>
        <v/>
      </c>
    </row>
    <row r="57">
      <c r="A57" s="6" t="inlineStr">
        <is>
          <t>Paolo</t>
        </is>
      </c>
      <c r="B57" s="6" t="inlineStr">
        <is>
          <t>Rizzo</t>
        </is>
      </c>
      <c r="C57" s="6" t="inlineStr">
        <is>
          <t>Adulto</t>
        </is>
      </c>
      <c r="D57" s="6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6" t="n"/>
      <c r="Z57" s="6" t="n"/>
      <c r="AA57" s="8">
        <f>IF(OR(A57&lt;&gt;"",B57&lt;&gt;""),TRIM(A57&amp;" "&amp;B57),"")</f>
        <v/>
      </c>
      <c r="AB57" s="8">
        <f>IF(AA57="","",IF(COUNTIF(Tavoli!$E$2:$AB$41,AA57)=0,"Da assegnare",IF(COUNTIF(Tavoli!$E$2:$AB$41,AA57)&gt;1,"DUPLICATO","Tavolo "&amp;SUMPRODUCT((Tavoli!$E$2:$AB$41=AA57)*Tavoli!$A$2:$A$41))))</f>
        <v/>
      </c>
    </row>
    <row r="58">
      <c r="A58" s="6" t="inlineStr">
        <is>
          <t>Davide</t>
        </is>
      </c>
      <c r="B58" s="6" t="inlineStr">
        <is>
          <t>De</t>
        </is>
      </c>
      <c r="C58" s="6" t="inlineStr">
        <is>
          <t>Adulto</t>
        </is>
      </c>
      <c r="D58" s="6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inlineStr">
        <is>
          <t>X</t>
        </is>
      </c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6" t="n"/>
      <c r="Z58" s="6" t="n"/>
      <c r="AA58" s="8">
        <f>IF(OR(A58&lt;&gt;"",B58&lt;&gt;""),TRIM(A58&amp;" "&amp;B58),"")</f>
        <v/>
      </c>
      <c r="AB58" s="8">
        <f>IF(AA58="","",IF(COUNTIF(Tavoli!$E$2:$AB$41,AA58)=0,"Da assegnare",IF(COUNTIF(Tavoli!$E$2:$AB$41,AA58)&gt;1,"DUPLICATO","Tavolo "&amp;SUMPRODUCT((Tavoli!$E$2:$AB$41=AA58)*Tavoli!$A$2:$A$41))))</f>
        <v/>
      </c>
    </row>
    <row r="59">
      <c r="A59" s="6" t="inlineStr">
        <is>
          <t>Marco</t>
        </is>
      </c>
      <c r="B59" s="6" t="inlineStr">
        <is>
          <t>Fontana</t>
        </is>
      </c>
      <c r="C59" s="6" t="inlineStr">
        <is>
          <t>Adulto</t>
        </is>
      </c>
      <c r="D59" s="6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6" t="n"/>
      <c r="Z59" s="6" t="n"/>
      <c r="AA59" s="8">
        <f>IF(OR(A59&lt;&gt;"",B59&lt;&gt;""),TRIM(A59&amp;" "&amp;B59),"")</f>
        <v/>
      </c>
      <c r="AB59" s="8">
        <f>IF(AA59="","",IF(COUNTIF(Tavoli!$E$2:$AB$41,AA59)=0,"Da assegnare",IF(COUNTIF(Tavoli!$E$2:$AB$41,AA59)&gt;1,"DUPLICATO","Tavolo "&amp;SUMPRODUCT((Tavoli!$E$2:$AB$41=AA59)*Tavoli!$A$2:$A$41))))</f>
        <v/>
      </c>
    </row>
    <row r="60">
      <c r="A60" s="6" t="inlineStr">
        <is>
          <t>Alice</t>
        </is>
      </c>
      <c r="B60" s="6" t="inlineStr">
        <is>
          <t>Giordano</t>
        </is>
      </c>
      <c r="C60" s="6" t="inlineStr">
        <is>
          <t>Adulto</t>
        </is>
      </c>
      <c r="D60" s="6" t="inlineStr">
        <is>
          <t>Fruttariano</t>
        </is>
      </c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6" t="n"/>
      <c r="Z60" s="6" t="n"/>
      <c r="AA60" s="8">
        <f>IF(OR(A60&lt;&gt;"",B60&lt;&gt;""),TRIM(A60&amp;" "&amp;B60),"")</f>
        <v/>
      </c>
      <c r="AB60" s="8">
        <f>IF(AA60="","",IF(COUNTIF(Tavoli!$E$2:$AB$41,AA60)=0,"Da assegnare",IF(COUNTIF(Tavoli!$E$2:$AB$41,AA60)&gt;1,"DUPLICATO","Tavolo "&amp;SUMPRODUCT((Tavoli!$E$2:$AB$41=AA60)*Tavoli!$A$2:$A$41))))</f>
        <v/>
      </c>
    </row>
    <row r="61">
      <c r="A61" s="6" t="inlineStr">
        <is>
          <t>Nicola</t>
        </is>
      </c>
      <c r="B61" s="6" t="inlineStr">
        <is>
          <t>Moretti</t>
        </is>
      </c>
      <c r="C61" s="6" t="inlineStr">
        <is>
          <t>Adulto</t>
        </is>
      </c>
      <c r="D61" s="6" t="n"/>
      <c r="E61" s="7" t="inlineStr">
        <is>
          <t>X</t>
        </is>
      </c>
      <c r="F61" s="7" t="n"/>
      <c r="G61" s="7" t="n"/>
      <c r="H61" s="7" t="n"/>
      <c r="I61" s="7" t="inlineStr">
        <is>
          <t>X</t>
        </is>
      </c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6" t="n"/>
      <c r="Z61" s="6" t="n"/>
      <c r="AA61" s="8">
        <f>IF(OR(A61&lt;&gt;"",B61&lt;&gt;""),TRIM(A61&amp;" "&amp;B61),"")</f>
        <v/>
      </c>
      <c r="AB61" s="8">
        <f>IF(AA61="","",IF(COUNTIF(Tavoli!$E$2:$AB$41,AA61)=0,"Da assegnare",IF(COUNTIF(Tavoli!$E$2:$AB$41,AA61)&gt;1,"DUPLICATO","Tavolo "&amp;SUMPRODUCT((Tavoli!$E$2:$AB$41=AA61)*Tavoli!$A$2:$A$41))))</f>
        <v/>
      </c>
    </row>
    <row r="62">
      <c r="A62" s="6" t="inlineStr">
        <is>
          <t>Paolo</t>
        </is>
      </c>
      <c r="B62" s="6" t="inlineStr">
        <is>
          <t>Leone</t>
        </is>
      </c>
      <c r="C62" s="6" t="inlineStr">
        <is>
          <t>Adulto</t>
        </is>
      </c>
      <c r="D62" s="6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6" t="n"/>
      <c r="Z62" s="6" t="n"/>
      <c r="AA62" s="8">
        <f>IF(OR(A62&lt;&gt;"",B62&lt;&gt;""),TRIM(A62&amp;" "&amp;B62),"")</f>
        <v/>
      </c>
      <c r="AB62" s="8">
        <f>IF(AA62="","",IF(COUNTIF(Tavoli!$E$2:$AB$41,AA62)=0,"Da assegnare",IF(COUNTIF(Tavoli!$E$2:$AB$41,AA62)&gt;1,"DUPLICATO","Tavolo "&amp;SUMPRODUCT((Tavoli!$E$2:$AB$41=AA62)*Tavoli!$A$2:$A$41))))</f>
        <v/>
      </c>
    </row>
    <row r="63">
      <c r="A63" s="6" t="inlineStr">
        <is>
          <t>Martina</t>
        </is>
      </c>
      <c r="B63" s="6" t="inlineStr">
        <is>
          <t>De</t>
        </is>
      </c>
      <c r="C63" s="6" t="inlineStr">
        <is>
          <t>Adulto</t>
        </is>
      </c>
      <c r="D63" s="6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6" t="n"/>
      <c r="Z63" s="6" t="n"/>
      <c r="AA63" s="8">
        <f>IF(OR(A63&lt;&gt;"",B63&lt;&gt;""),TRIM(A63&amp;" "&amp;B63),"")</f>
        <v/>
      </c>
      <c r="AB63" s="8">
        <f>IF(AA63="","",IF(COUNTIF(Tavoli!$E$2:$AB$41,AA63)=0,"Da assegnare",IF(COUNTIF(Tavoli!$E$2:$AB$41,AA63)&gt;1,"DUPLICATO","Tavolo "&amp;SUMPRODUCT((Tavoli!$E$2:$AB$41=AA63)*Tavoli!$A$2:$A$41))))</f>
        <v/>
      </c>
    </row>
    <row r="64">
      <c r="A64" s="6" t="inlineStr">
        <is>
          <t>Fabio</t>
        </is>
      </c>
      <c r="B64" s="6" t="inlineStr">
        <is>
          <t>Giordano</t>
        </is>
      </c>
      <c r="C64" s="6" t="inlineStr">
        <is>
          <t>Neonato</t>
        </is>
      </c>
      <c r="D64" s="6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6" t="n"/>
      <c r="Z64" s="6" t="n"/>
      <c r="AA64" s="8">
        <f>IF(OR(A64&lt;&gt;"",B64&lt;&gt;""),TRIM(A64&amp;" "&amp;B64),"")</f>
        <v/>
      </c>
      <c r="AB64" s="8">
        <f>IF(AA64="","",IF(COUNTIF(Tavoli!$E$2:$AB$41,AA64)=0,"Da assegnare",IF(COUNTIF(Tavoli!$E$2:$AB$41,AA64)&gt;1,"DUPLICATO","Tavolo "&amp;SUMPRODUCT((Tavoli!$E$2:$AB$41=AA64)*Tavoli!$A$2:$A$41))))</f>
        <v/>
      </c>
    </row>
    <row r="65">
      <c r="A65" s="6" t="inlineStr">
        <is>
          <t>Matteo</t>
        </is>
      </c>
      <c r="B65" s="6" t="inlineStr">
        <is>
          <t>Ferrari</t>
        </is>
      </c>
      <c r="C65" s="6" t="inlineStr">
        <is>
          <t>Bambino</t>
        </is>
      </c>
      <c r="D65" s="6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6" t="n"/>
      <c r="Z65" s="6" t="n"/>
      <c r="AA65" s="8">
        <f>IF(OR(A65&lt;&gt;"",B65&lt;&gt;""),TRIM(A65&amp;" "&amp;B65),"")</f>
        <v/>
      </c>
      <c r="AB65" s="8">
        <f>IF(AA65="","",IF(COUNTIF(Tavoli!$E$2:$AB$41,AA65)=0,"Da assegnare",IF(COUNTIF(Tavoli!$E$2:$AB$41,AA65)&gt;1,"DUPLICATO","Tavolo "&amp;SUMPRODUCT((Tavoli!$E$2:$AB$41=AA65)*Tavoli!$A$2:$A$41))))</f>
        <v/>
      </c>
    </row>
    <row r="66">
      <c r="A66" s="6" t="inlineStr">
        <is>
          <t>Alessio</t>
        </is>
      </c>
      <c r="B66" s="6" t="inlineStr">
        <is>
          <t>Rossi</t>
        </is>
      </c>
      <c r="C66" s="6" t="inlineStr">
        <is>
          <t>Adulto</t>
        </is>
      </c>
      <c r="D66" s="6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6" t="n"/>
      <c r="Z66" s="6" t="n"/>
      <c r="AA66" s="8">
        <f>IF(OR(A66&lt;&gt;"",B66&lt;&gt;""),TRIM(A66&amp;" "&amp;B66),"")</f>
        <v/>
      </c>
      <c r="AB66" s="8">
        <f>IF(AA66="","",IF(COUNTIF(Tavoli!$E$2:$AB$41,AA66)=0,"Da assegnare",IF(COUNTIF(Tavoli!$E$2:$AB$41,AA66)&gt;1,"DUPLICATO","Tavolo "&amp;SUMPRODUCT((Tavoli!$E$2:$AB$41=AA66)*Tavoli!$A$2:$A$41))))</f>
        <v/>
      </c>
    </row>
    <row r="67">
      <c r="A67" s="6" t="inlineStr">
        <is>
          <t>Chiara</t>
        </is>
      </c>
      <c r="B67" s="6" t="inlineStr">
        <is>
          <t>Ferrara</t>
        </is>
      </c>
      <c r="C67" s="6" t="inlineStr">
        <is>
          <t>Bambino</t>
        </is>
      </c>
      <c r="D67" s="6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inlineStr">
        <is>
          <t>X</t>
        </is>
      </c>
      <c r="N67" s="7" t="n"/>
      <c r="O67" s="7" t="inlineStr">
        <is>
          <t>X</t>
        </is>
      </c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6" t="n"/>
      <c r="Z67" s="6" t="n"/>
      <c r="AA67" s="8">
        <f>IF(OR(A67&lt;&gt;"",B67&lt;&gt;""),TRIM(A67&amp;" "&amp;B67),"")</f>
        <v/>
      </c>
      <c r="AB67" s="8">
        <f>IF(AA67="","",IF(COUNTIF(Tavoli!$E$2:$AB$41,AA67)=0,"Da assegnare",IF(COUNTIF(Tavoli!$E$2:$AB$41,AA67)&gt;1,"DUPLICATO","Tavolo "&amp;SUMPRODUCT((Tavoli!$E$2:$AB$41=AA67)*Tavoli!$A$2:$A$41))))</f>
        <v/>
      </c>
    </row>
    <row r="68">
      <c r="A68" s="6" t="inlineStr">
        <is>
          <t>Paola</t>
        </is>
      </c>
      <c r="B68" s="6" t="inlineStr">
        <is>
          <t>Marino</t>
        </is>
      </c>
      <c r="C68" s="6" t="inlineStr">
        <is>
          <t>Adulto</t>
        </is>
      </c>
      <c r="D68" s="6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inlineStr">
        <is>
          <t>X</t>
        </is>
      </c>
      <c r="Y68" s="6" t="n"/>
      <c r="Z68" s="6" t="n"/>
      <c r="AA68" s="8">
        <f>IF(OR(A68&lt;&gt;"",B68&lt;&gt;""),TRIM(A68&amp;" "&amp;B68),"")</f>
        <v/>
      </c>
      <c r="AB68" s="8">
        <f>IF(AA68="","",IF(COUNTIF(Tavoli!$E$2:$AB$41,AA68)=0,"Da assegnare",IF(COUNTIF(Tavoli!$E$2:$AB$41,AA68)&gt;1,"DUPLICATO","Tavolo "&amp;SUMPRODUCT((Tavoli!$E$2:$AB$41=AA68)*Tavoli!$A$2:$A$41))))</f>
        <v/>
      </c>
    </row>
    <row r="69">
      <c r="A69" s="6" t="inlineStr">
        <is>
          <t>Giorgio</t>
        </is>
      </c>
      <c r="B69" s="6" t="inlineStr">
        <is>
          <t>Russo</t>
        </is>
      </c>
      <c r="C69" s="6" t="inlineStr">
        <is>
          <t>Adulto</t>
        </is>
      </c>
      <c r="D69" s="6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6" t="n"/>
      <c r="Z69" s="6" t="n"/>
      <c r="AA69" s="8">
        <f>IF(OR(A69&lt;&gt;"",B69&lt;&gt;""),TRIM(A69&amp;" "&amp;B69),"")</f>
        <v/>
      </c>
      <c r="AB69" s="8">
        <f>IF(AA69="","",IF(COUNTIF(Tavoli!$E$2:$AB$41,AA69)=0,"Da assegnare",IF(COUNTIF(Tavoli!$E$2:$AB$41,AA69)&gt;1,"DUPLICATO","Tavolo "&amp;SUMPRODUCT((Tavoli!$E$2:$AB$41=AA69)*Tavoli!$A$2:$A$41))))</f>
        <v/>
      </c>
    </row>
    <row r="70">
      <c r="A70" s="6" t="inlineStr">
        <is>
          <t>Riccardo</t>
        </is>
      </c>
      <c r="B70" s="6" t="inlineStr">
        <is>
          <t>Martinelli</t>
        </is>
      </c>
      <c r="C70" s="6" t="inlineStr">
        <is>
          <t>Adulto</t>
        </is>
      </c>
      <c r="D70" s="6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6" t="n"/>
      <c r="Z70" s="6" t="n"/>
      <c r="AA70" s="8">
        <f>IF(OR(A70&lt;&gt;"",B70&lt;&gt;""),TRIM(A70&amp;" "&amp;B70),"")</f>
        <v/>
      </c>
      <c r="AB70" s="8">
        <f>IF(AA70="","",IF(COUNTIF(Tavoli!$E$2:$AB$41,AA70)=0,"Da assegnare",IF(COUNTIF(Tavoli!$E$2:$AB$41,AA70)&gt;1,"DUPLICATO","Tavolo "&amp;SUMPRODUCT((Tavoli!$E$2:$AB$41=AA70)*Tavoli!$A$2:$A$41))))</f>
        <v/>
      </c>
    </row>
    <row r="71">
      <c r="A71" s="6" t="inlineStr">
        <is>
          <t>Laura</t>
        </is>
      </c>
      <c r="B71" s="6" t="inlineStr">
        <is>
          <t>Vitale</t>
        </is>
      </c>
      <c r="C71" s="6" t="inlineStr">
        <is>
          <t>Adulto</t>
        </is>
      </c>
      <c r="D71" s="6" t="inlineStr">
        <is>
          <t>Vegetariano</t>
        </is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6" t="n"/>
      <c r="Z71" s="6" t="n"/>
      <c r="AA71" s="8">
        <f>IF(OR(A71&lt;&gt;"",B71&lt;&gt;""),TRIM(A71&amp;" "&amp;B71),"")</f>
        <v/>
      </c>
      <c r="AB71" s="8">
        <f>IF(AA71="","",IF(COUNTIF(Tavoli!$E$2:$AB$41,AA71)=0,"Da assegnare",IF(COUNTIF(Tavoli!$E$2:$AB$41,AA71)&gt;1,"DUPLICATO","Tavolo "&amp;SUMPRODUCT((Tavoli!$E$2:$AB$41=AA71)*Tavoli!$A$2:$A$41))))</f>
        <v/>
      </c>
    </row>
    <row r="72">
      <c r="A72" s="6" t="inlineStr">
        <is>
          <t>Daniele</t>
        </is>
      </c>
      <c r="B72" s="6" t="inlineStr">
        <is>
          <t>Gallo</t>
        </is>
      </c>
      <c r="C72" s="6" t="inlineStr">
        <is>
          <t>Adulto</t>
        </is>
      </c>
      <c r="D72" s="6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6" t="n"/>
      <c r="Z72" s="6" t="n"/>
      <c r="AA72" s="8">
        <f>IF(OR(A72&lt;&gt;"",B72&lt;&gt;""),TRIM(A72&amp;" "&amp;B72),"")</f>
        <v/>
      </c>
      <c r="AB72" s="8">
        <f>IF(AA72="","",IF(COUNTIF(Tavoli!$E$2:$AB$41,AA72)=0,"Da assegnare",IF(COUNTIF(Tavoli!$E$2:$AB$41,AA72)&gt;1,"DUPLICATO","Tavolo "&amp;SUMPRODUCT((Tavoli!$E$2:$AB$41=AA72)*Tavoli!$A$2:$A$41))))</f>
        <v/>
      </c>
    </row>
    <row r="73">
      <c r="A73" s="6" t="inlineStr">
        <is>
          <t>Davide</t>
        </is>
      </c>
      <c r="B73" s="6" t="inlineStr">
        <is>
          <t>Rinaldi</t>
        </is>
      </c>
      <c r="C73" s="6" t="inlineStr">
        <is>
          <t>Adulto</t>
        </is>
      </c>
      <c r="D73" s="6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6" t="n"/>
      <c r="Z73" s="6" t="n"/>
      <c r="AA73" s="8">
        <f>IF(OR(A73&lt;&gt;"",B73&lt;&gt;""),TRIM(A73&amp;" "&amp;B73),"")</f>
        <v/>
      </c>
      <c r="AB73" s="8">
        <f>IF(AA73="","",IF(COUNTIF(Tavoli!$E$2:$AB$41,AA73)=0,"Da assegnare",IF(COUNTIF(Tavoli!$E$2:$AB$41,AA73)&gt;1,"DUPLICATO","Tavolo "&amp;SUMPRODUCT((Tavoli!$E$2:$AB$41=AA73)*Tavoli!$A$2:$A$41))))</f>
        <v/>
      </c>
    </row>
    <row r="74">
      <c r="A74" s="6" t="inlineStr">
        <is>
          <t>Valentina</t>
        </is>
      </c>
      <c r="B74" s="6" t="inlineStr">
        <is>
          <t>Santoro</t>
        </is>
      </c>
      <c r="C74" s="6" t="inlineStr">
        <is>
          <t>Adulto</t>
        </is>
      </c>
      <c r="D74" s="6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6" t="n"/>
      <c r="Z74" s="6" t="n"/>
      <c r="AA74" s="8">
        <f>IF(OR(A74&lt;&gt;"",B74&lt;&gt;""),TRIM(A74&amp;" "&amp;B74),"")</f>
        <v/>
      </c>
      <c r="AB74" s="8">
        <f>IF(AA74="","",IF(COUNTIF(Tavoli!$E$2:$AB$41,AA74)=0,"Da assegnare",IF(COUNTIF(Tavoli!$E$2:$AB$41,AA74)&gt;1,"DUPLICATO","Tavolo "&amp;SUMPRODUCT((Tavoli!$E$2:$AB$41=AA74)*Tavoli!$A$2:$A$41))))</f>
        <v/>
      </c>
    </row>
    <row r="75">
      <c r="A75" s="6" t="inlineStr">
        <is>
          <t>Silvia</t>
        </is>
      </c>
      <c r="B75" s="6" t="inlineStr">
        <is>
          <t>Barbieri</t>
        </is>
      </c>
      <c r="C75" s="6" t="inlineStr">
        <is>
          <t>Adulto</t>
        </is>
      </c>
      <c r="D75" s="6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6" t="n"/>
      <c r="Z75" s="6" t="n"/>
      <c r="AA75" s="8">
        <f>IF(OR(A75&lt;&gt;"",B75&lt;&gt;""),TRIM(A75&amp;" "&amp;B75),"")</f>
        <v/>
      </c>
      <c r="AB75" s="8">
        <f>IF(AA75="","",IF(COUNTIF(Tavoli!$E$2:$AB$41,AA75)=0,"Da assegnare",IF(COUNTIF(Tavoli!$E$2:$AB$41,AA75)&gt;1,"DUPLICATO","Tavolo "&amp;SUMPRODUCT((Tavoli!$E$2:$AB$41=AA75)*Tavoli!$A$2:$A$41))))</f>
        <v/>
      </c>
    </row>
    <row r="76">
      <c r="A76" s="6" t="inlineStr">
        <is>
          <t>Fabio</t>
        </is>
      </c>
      <c r="B76" s="6" t="inlineStr">
        <is>
          <t>Luca</t>
        </is>
      </c>
      <c r="C76" s="6" t="inlineStr">
        <is>
          <t>Adulto</t>
        </is>
      </c>
      <c r="D76" s="6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6" t="n"/>
      <c r="Z76" s="6" t="n"/>
      <c r="AA76" s="8">
        <f>IF(OR(A76&lt;&gt;"",B76&lt;&gt;""),TRIM(A76&amp;" "&amp;B76),"")</f>
        <v/>
      </c>
      <c r="AB76" s="8">
        <f>IF(AA76="","",IF(COUNTIF(Tavoli!$E$2:$AB$41,AA76)=0,"Da assegnare",IF(COUNTIF(Tavoli!$E$2:$AB$41,AA76)&gt;1,"DUPLICATO","Tavolo "&amp;SUMPRODUCT((Tavoli!$E$2:$AB$41=AA76)*Tavoli!$A$2:$A$41))))</f>
        <v/>
      </c>
    </row>
    <row r="77">
      <c r="A77" s="6" t="inlineStr">
        <is>
          <t>Fabio</t>
        </is>
      </c>
      <c r="B77" s="6" t="inlineStr">
        <is>
          <t>Bianchi</t>
        </is>
      </c>
      <c r="C77" s="6" t="inlineStr">
        <is>
          <t>Bambino</t>
        </is>
      </c>
      <c r="D77" s="6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6" t="n"/>
      <c r="Z77" s="6" t="n"/>
      <c r="AA77" s="8">
        <f>IF(OR(A77&lt;&gt;"",B77&lt;&gt;""),TRIM(A77&amp;" "&amp;B77),"")</f>
        <v/>
      </c>
      <c r="AB77" s="8">
        <f>IF(AA77="","",IF(COUNTIF(Tavoli!$E$2:$AB$41,AA77)=0,"Da assegnare",IF(COUNTIF(Tavoli!$E$2:$AB$41,AA77)&gt;1,"DUPLICATO","Tavolo "&amp;SUMPRODUCT((Tavoli!$E$2:$AB$41=AA77)*Tavoli!$A$2:$A$41))))</f>
        <v/>
      </c>
    </row>
    <row r="78">
      <c r="A78" s="6" t="inlineStr">
        <is>
          <t>Elena</t>
        </is>
      </c>
      <c r="B78" s="6" t="inlineStr">
        <is>
          <t>Martinelli</t>
        </is>
      </c>
      <c r="C78" s="6" t="inlineStr">
        <is>
          <t>Adulto</t>
        </is>
      </c>
      <c r="D78" s="6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6" t="n"/>
      <c r="Z78" s="6" t="n"/>
      <c r="AA78" s="8">
        <f>IF(OR(A78&lt;&gt;"",B78&lt;&gt;""),TRIM(A78&amp;" "&amp;B78),"")</f>
        <v/>
      </c>
      <c r="AB78" s="8">
        <f>IF(AA78="","",IF(COUNTIF(Tavoli!$E$2:$AB$41,AA78)=0,"Da assegnare",IF(COUNTIF(Tavoli!$E$2:$AB$41,AA78)&gt;1,"DUPLICATO","Tavolo "&amp;SUMPRODUCT((Tavoli!$E$2:$AB$41=AA78)*Tavoli!$A$2:$A$41))))</f>
        <v/>
      </c>
    </row>
    <row r="79">
      <c r="A79" s="6" t="inlineStr">
        <is>
          <t>Matteo</t>
        </is>
      </c>
      <c r="B79" s="6" t="inlineStr">
        <is>
          <t>De</t>
        </is>
      </c>
      <c r="C79" s="6" t="inlineStr">
        <is>
          <t>Adulto</t>
        </is>
      </c>
      <c r="D79" s="6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6" t="n"/>
      <c r="Z79" s="6" t="n"/>
      <c r="AA79" s="8">
        <f>IF(OR(A79&lt;&gt;"",B79&lt;&gt;""),TRIM(A79&amp;" "&amp;B79),"")</f>
        <v/>
      </c>
      <c r="AB79" s="8">
        <f>IF(AA79="","",IF(COUNTIF(Tavoli!$E$2:$AB$41,AA79)=0,"Da assegnare",IF(COUNTIF(Tavoli!$E$2:$AB$41,AA79)&gt;1,"DUPLICATO","Tavolo "&amp;SUMPRODUCT((Tavoli!$E$2:$AB$41=AA79)*Tavoli!$A$2:$A$41))))</f>
        <v/>
      </c>
    </row>
    <row r="80">
      <c r="A80" s="6" t="inlineStr">
        <is>
          <t>Paolo</t>
        </is>
      </c>
      <c r="B80" s="6" t="inlineStr">
        <is>
          <t>Ricci</t>
        </is>
      </c>
      <c r="C80" s="6" t="inlineStr">
        <is>
          <t>Adulto</t>
        </is>
      </c>
      <c r="D80" s="6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6" t="n"/>
      <c r="Z80" s="6" t="n"/>
      <c r="AA80" s="8">
        <f>IF(OR(A80&lt;&gt;"",B80&lt;&gt;""),TRIM(A80&amp;" "&amp;B80),"")</f>
        <v/>
      </c>
      <c r="AB80" s="8">
        <f>IF(AA80="","",IF(COUNTIF(Tavoli!$E$2:$AB$41,AA80)=0,"Da assegnare",IF(COUNTIF(Tavoli!$E$2:$AB$41,AA80)&gt;1,"DUPLICATO","Tavolo "&amp;SUMPRODUCT((Tavoli!$E$2:$AB$41=AA80)*Tavoli!$A$2:$A$41))))</f>
        <v/>
      </c>
    </row>
    <row r="81">
      <c r="A81" s="6" t="inlineStr">
        <is>
          <t>Paolo</t>
        </is>
      </c>
      <c r="B81" s="6" t="inlineStr">
        <is>
          <t>Colombo</t>
        </is>
      </c>
      <c r="C81" s="6" t="inlineStr">
        <is>
          <t>Adulto</t>
        </is>
      </c>
      <c r="D81" s="6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6" t="n"/>
      <c r="Z81" s="6" t="n"/>
      <c r="AA81" s="8">
        <f>IF(OR(A81&lt;&gt;"",B81&lt;&gt;""),TRIM(A81&amp;" "&amp;B81),"")</f>
        <v/>
      </c>
      <c r="AB81" s="8">
        <f>IF(AA81="","",IF(COUNTIF(Tavoli!$E$2:$AB$41,AA81)=0,"Da assegnare",IF(COUNTIF(Tavoli!$E$2:$AB$41,AA81)&gt;1,"DUPLICATO","Tavolo "&amp;SUMPRODUCT((Tavoli!$E$2:$AB$41=AA81)*Tavoli!$A$2:$A$41))))</f>
        <v/>
      </c>
    </row>
    <row r="82">
      <c r="A82" s="6" t="inlineStr">
        <is>
          <t>Marta</t>
        </is>
      </c>
      <c r="B82" s="6" t="inlineStr">
        <is>
          <t>Coppola</t>
        </is>
      </c>
      <c r="C82" s="6" t="inlineStr">
        <is>
          <t>Adulto</t>
        </is>
      </c>
      <c r="D82" s="6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6" t="n"/>
      <c r="Z82" s="6" t="n"/>
      <c r="AA82" s="8">
        <f>IF(OR(A82&lt;&gt;"",B82&lt;&gt;""),TRIM(A82&amp;" "&amp;B82),"")</f>
        <v/>
      </c>
      <c r="AB82" s="8">
        <f>IF(AA82="","",IF(COUNTIF(Tavoli!$E$2:$AB$41,AA82)=0,"Da assegnare",IF(COUNTIF(Tavoli!$E$2:$AB$41,AA82)&gt;1,"DUPLICATO","Tavolo "&amp;SUMPRODUCT((Tavoli!$E$2:$AB$41=AA82)*Tavoli!$A$2:$A$41))))</f>
        <v/>
      </c>
    </row>
    <row r="83">
      <c r="A83" s="6" t="inlineStr">
        <is>
          <t>Alessio</t>
        </is>
      </c>
      <c r="B83" s="6" t="inlineStr">
        <is>
          <t>Lombardi</t>
        </is>
      </c>
      <c r="C83" s="6" t="inlineStr">
        <is>
          <t>Adulto</t>
        </is>
      </c>
      <c r="D83" s="6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6" t="n"/>
      <c r="Z83" s="6" t="n"/>
      <c r="AA83" s="8">
        <f>IF(OR(A83&lt;&gt;"",B83&lt;&gt;""),TRIM(A83&amp;" "&amp;B83),"")</f>
        <v/>
      </c>
      <c r="AB83" s="8">
        <f>IF(AA83="","",IF(COUNTIF(Tavoli!$E$2:$AB$41,AA83)=0,"Da assegnare",IF(COUNTIF(Tavoli!$E$2:$AB$41,AA83)&gt;1,"DUPLICATO","Tavolo "&amp;SUMPRODUCT((Tavoli!$E$2:$AB$41=AA83)*Tavoli!$A$2:$A$41))))</f>
        <v/>
      </c>
    </row>
    <row r="84">
      <c r="A84" s="6" t="inlineStr">
        <is>
          <t>Enrico</t>
        </is>
      </c>
      <c r="B84" s="6" t="inlineStr">
        <is>
          <t>Rinaldi</t>
        </is>
      </c>
      <c r="C84" s="6" t="inlineStr">
        <is>
          <t>Adulto</t>
        </is>
      </c>
      <c r="D84" s="6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inlineStr">
        <is>
          <t>X</t>
        </is>
      </c>
      <c r="W84" s="7" t="n"/>
      <c r="X84" s="7" t="n"/>
      <c r="Y84" s="6" t="n"/>
      <c r="Z84" s="6" t="n"/>
      <c r="AA84" s="8">
        <f>IF(OR(A84&lt;&gt;"",B84&lt;&gt;""),TRIM(A84&amp;" "&amp;B84),"")</f>
        <v/>
      </c>
      <c r="AB84" s="8">
        <f>IF(AA84="","",IF(COUNTIF(Tavoli!$E$2:$AB$41,AA84)=0,"Da assegnare",IF(COUNTIF(Tavoli!$E$2:$AB$41,AA84)&gt;1,"DUPLICATO","Tavolo "&amp;SUMPRODUCT((Tavoli!$E$2:$AB$41=AA84)*Tavoli!$A$2:$A$41))))</f>
        <v/>
      </c>
    </row>
    <row r="85">
      <c r="A85" s="6" t="inlineStr">
        <is>
          <t>Marta</t>
        </is>
      </c>
      <c r="B85" s="6" t="inlineStr">
        <is>
          <t>Lombardi</t>
        </is>
      </c>
      <c r="C85" s="6" t="inlineStr">
        <is>
          <t>Bambino</t>
        </is>
      </c>
      <c r="D85" s="6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6" t="n"/>
      <c r="Z85" s="6" t="n"/>
      <c r="AA85" s="8">
        <f>IF(OR(A85&lt;&gt;"",B85&lt;&gt;""),TRIM(A85&amp;" "&amp;B85),"")</f>
        <v/>
      </c>
      <c r="AB85" s="8">
        <f>IF(AA85="","",IF(COUNTIF(Tavoli!$E$2:$AB$41,AA85)=0,"Da assegnare",IF(COUNTIF(Tavoli!$E$2:$AB$41,AA85)&gt;1,"DUPLICATO","Tavolo "&amp;SUMPRODUCT((Tavoli!$E$2:$AB$41=AA85)*Tavoli!$A$2:$A$41))))</f>
        <v/>
      </c>
    </row>
    <row r="86">
      <c r="A86" s="6" t="inlineStr">
        <is>
          <t>Nicola</t>
        </is>
      </c>
      <c r="B86" s="6" t="inlineStr">
        <is>
          <t>Ferrari</t>
        </is>
      </c>
      <c r="C86" s="6" t="inlineStr">
        <is>
          <t>Adulto</t>
        </is>
      </c>
      <c r="D86" s="6" t="n"/>
      <c r="E86" s="7" t="inlineStr">
        <is>
          <t>X</t>
        </is>
      </c>
      <c r="F86" s="7" t="n"/>
      <c r="G86" s="7" t="n"/>
      <c r="H86" s="7" t="n"/>
      <c r="I86" s="7" t="n"/>
      <c r="J86" s="7" t="n"/>
      <c r="K86" s="7" t="n"/>
      <c r="L86" s="7" t="n"/>
      <c r="M86" s="7" t="inlineStr">
        <is>
          <t>X</t>
        </is>
      </c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6" t="n"/>
      <c r="Z86" s="6" t="n"/>
      <c r="AA86" s="8">
        <f>IF(OR(A86&lt;&gt;"",B86&lt;&gt;""),TRIM(A86&amp;" "&amp;B86),"")</f>
        <v/>
      </c>
      <c r="AB86" s="8">
        <f>IF(AA86="","",IF(COUNTIF(Tavoli!$E$2:$AB$41,AA86)=0,"Da assegnare",IF(COUNTIF(Tavoli!$E$2:$AB$41,AA86)&gt;1,"DUPLICATO","Tavolo "&amp;SUMPRODUCT((Tavoli!$E$2:$AB$41=AA86)*Tavoli!$A$2:$A$41))))</f>
        <v/>
      </c>
    </row>
    <row r="87">
      <c r="A87" s="6" t="inlineStr">
        <is>
          <t>Alice</t>
        </is>
      </c>
      <c r="B87" s="6" t="inlineStr">
        <is>
          <t>Colombo</t>
        </is>
      </c>
      <c r="C87" s="6" t="inlineStr">
        <is>
          <t>Adulto</t>
        </is>
      </c>
      <c r="D87" s="6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6" t="n"/>
      <c r="Z87" s="6" t="n"/>
      <c r="AA87" s="8">
        <f>IF(OR(A87&lt;&gt;"",B87&lt;&gt;""),TRIM(A87&amp;" "&amp;B87),"")</f>
        <v/>
      </c>
      <c r="AB87" s="8">
        <f>IF(AA87="","",IF(COUNTIF(Tavoli!$E$2:$AB$41,AA87)=0,"Da assegnare",IF(COUNTIF(Tavoli!$E$2:$AB$41,AA87)&gt;1,"DUPLICATO","Tavolo "&amp;SUMPRODUCT((Tavoli!$E$2:$AB$41=AA87)*Tavoli!$A$2:$A$41))))</f>
        <v/>
      </c>
    </row>
    <row r="88">
      <c r="A88" s="6" t="inlineStr">
        <is>
          <t>Alice</t>
        </is>
      </c>
      <c r="B88" s="6" t="inlineStr">
        <is>
          <t>Vitale</t>
        </is>
      </c>
      <c r="C88" s="6" t="inlineStr">
        <is>
          <t>Adulto</t>
        </is>
      </c>
      <c r="D88" s="6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inlineStr">
        <is>
          <t>X</t>
        </is>
      </c>
      <c r="Q88" s="7" t="n"/>
      <c r="R88" s="7" t="n"/>
      <c r="S88" s="7" t="n"/>
      <c r="T88" s="7" t="n"/>
      <c r="U88" s="7" t="n"/>
      <c r="V88" s="7" t="n"/>
      <c r="W88" s="7" t="n"/>
      <c r="X88" s="7" t="n"/>
      <c r="Y88" s="6" t="n"/>
      <c r="Z88" s="6" t="n"/>
      <c r="AA88" s="8">
        <f>IF(OR(A88&lt;&gt;"",B88&lt;&gt;""),TRIM(A88&amp;" "&amp;B88),"")</f>
        <v/>
      </c>
      <c r="AB88" s="8">
        <f>IF(AA88="","",IF(COUNTIF(Tavoli!$E$2:$AB$41,AA88)=0,"Da assegnare",IF(COUNTIF(Tavoli!$E$2:$AB$41,AA88)&gt;1,"DUPLICATO","Tavolo "&amp;SUMPRODUCT((Tavoli!$E$2:$AB$41=AA88)*Tavoli!$A$2:$A$41))))</f>
        <v/>
      </c>
    </row>
    <row r="89">
      <c r="A89" s="6" t="inlineStr">
        <is>
          <t>Simone</t>
        </is>
      </c>
      <c r="B89" s="6" t="inlineStr">
        <is>
          <t>Conti</t>
        </is>
      </c>
      <c r="C89" s="6" t="inlineStr">
        <is>
          <t>Adulto</t>
        </is>
      </c>
      <c r="D89" s="6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6" t="n"/>
      <c r="Z89" s="6" t="n"/>
      <c r="AA89" s="8">
        <f>IF(OR(A89&lt;&gt;"",B89&lt;&gt;""),TRIM(A89&amp;" "&amp;B89),"")</f>
        <v/>
      </c>
      <c r="AB89" s="8">
        <f>IF(AA89="","",IF(COUNTIF(Tavoli!$E$2:$AB$41,AA89)=0,"Da assegnare",IF(COUNTIF(Tavoli!$E$2:$AB$41,AA89)&gt;1,"DUPLICATO","Tavolo "&amp;SUMPRODUCT((Tavoli!$E$2:$AB$41=AA89)*Tavoli!$A$2:$A$41))))</f>
        <v/>
      </c>
    </row>
    <row r="90">
      <c r="A90" s="6" t="inlineStr">
        <is>
          <t>Giulia</t>
        </is>
      </c>
      <c r="B90" s="6" t="inlineStr">
        <is>
          <t>Serra</t>
        </is>
      </c>
      <c r="C90" s="6" t="inlineStr">
        <is>
          <t>Adulto</t>
        </is>
      </c>
      <c r="D90" s="6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6" t="n"/>
      <c r="Z90" s="6" t="n"/>
      <c r="AA90" s="8">
        <f>IF(OR(A90&lt;&gt;"",B90&lt;&gt;""),TRIM(A90&amp;" "&amp;B90),"")</f>
        <v/>
      </c>
      <c r="AB90" s="8">
        <f>IF(AA90="","",IF(COUNTIF(Tavoli!$E$2:$AB$41,AA90)=0,"Da assegnare",IF(COUNTIF(Tavoli!$E$2:$AB$41,AA90)&gt;1,"DUPLICATO","Tavolo "&amp;SUMPRODUCT((Tavoli!$E$2:$AB$41=AA90)*Tavoli!$A$2:$A$41))))</f>
        <v/>
      </c>
    </row>
    <row r="91">
      <c r="A91" s="6" t="inlineStr">
        <is>
          <t>Alessio</t>
        </is>
      </c>
      <c r="B91" s="6" t="inlineStr">
        <is>
          <t>Santoro</t>
        </is>
      </c>
      <c r="C91" s="6" t="inlineStr">
        <is>
          <t>Adulto</t>
        </is>
      </c>
      <c r="D91" s="6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6" t="n"/>
      <c r="Z91" s="6" t="n"/>
      <c r="AA91" s="8">
        <f>IF(OR(A91&lt;&gt;"",B91&lt;&gt;""),TRIM(A91&amp;" "&amp;B91),"")</f>
        <v/>
      </c>
      <c r="AB91" s="8">
        <f>IF(AA91="","",IF(COUNTIF(Tavoli!$E$2:$AB$41,AA91)=0,"Da assegnare",IF(COUNTIF(Tavoli!$E$2:$AB$41,AA91)&gt;1,"DUPLICATO","Tavolo "&amp;SUMPRODUCT((Tavoli!$E$2:$AB$41=AA91)*Tavoli!$A$2:$A$41))))</f>
        <v/>
      </c>
    </row>
    <row r="92">
      <c r="A92" s="6" t="inlineStr">
        <is>
          <t>Fabio</t>
        </is>
      </c>
      <c r="B92" s="6" t="inlineStr">
        <is>
          <t>Caruso</t>
        </is>
      </c>
      <c r="C92" s="6" t="inlineStr">
        <is>
          <t>Adulto</t>
        </is>
      </c>
      <c r="D92" s="6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6" t="n"/>
      <c r="Z92" s="6" t="n"/>
      <c r="AA92" s="8">
        <f>IF(OR(A92&lt;&gt;"",B92&lt;&gt;""),TRIM(A92&amp;" "&amp;B92),"")</f>
        <v/>
      </c>
      <c r="AB92" s="8">
        <f>IF(AA92="","",IF(COUNTIF(Tavoli!$E$2:$AB$41,AA92)=0,"Da assegnare",IF(COUNTIF(Tavoli!$E$2:$AB$41,AA92)&gt;1,"DUPLICATO","Tavolo "&amp;SUMPRODUCT((Tavoli!$E$2:$AB$41=AA92)*Tavoli!$A$2:$A$41))))</f>
        <v/>
      </c>
    </row>
    <row r="93">
      <c r="A93" s="6" t="inlineStr">
        <is>
          <t>Fabio</t>
        </is>
      </c>
      <c r="B93" s="6" t="inlineStr">
        <is>
          <t>Gallo</t>
        </is>
      </c>
      <c r="C93" s="6" t="inlineStr">
        <is>
          <t>Adulto</t>
        </is>
      </c>
      <c r="D93" s="6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inlineStr">
        <is>
          <t>X</t>
        </is>
      </c>
      <c r="T93" s="7" t="n"/>
      <c r="U93" s="7" t="n"/>
      <c r="V93" s="7" t="n"/>
      <c r="W93" s="7" t="n"/>
      <c r="X93" s="7" t="n"/>
      <c r="Y93" s="6" t="n"/>
      <c r="Z93" s="6" t="n"/>
      <c r="AA93" s="8">
        <f>IF(OR(A93&lt;&gt;"",B93&lt;&gt;""),TRIM(A93&amp;" "&amp;B93),"")</f>
        <v/>
      </c>
      <c r="AB93" s="8">
        <f>IF(AA93="","",IF(COUNTIF(Tavoli!$E$2:$AB$41,AA93)=0,"Da assegnare",IF(COUNTIF(Tavoli!$E$2:$AB$41,AA93)&gt;1,"DUPLICATO","Tavolo "&amp;SUMPRODUCT((Tavoli!$E$2:$AB$41=AA93)*Tavoli!$A$2:$A$41))))</f>
        <v/>
      </c>
    </row>
    <row r="94">
      <c r="A94" s="6" t="inlineStr">
        <is>
          <t>Giulia</t>
        </is>
      </c>
      <c r="B94" s="6" t="inlineStr">
        <is>
          <t>Santoro</t>
        </is>
      </c>
      <c r="C94" s="6" t="inlineStr">
        <is>
          <t>Adulto</t>
        </is>
      </c>
      <c r="D94" s="6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6" t="n"/>
      <c r="Z94" s="6" t="n"/>
      <c r="AA94" s="8">
        <f>IF(OR(A94&lt;&gt;"",B94&lt;&gt;""),TRIM(A94&amp;" "&amp;B94),"")</f>
        <v/>
      </c>
      <c r="AB94" s="8">
        <f>IF(AA94="","",IF(COUNTIF(Tavoli!$E$2:$AB$41,AA94)=0,"Da assegnare",IF(COUNTIF(Tavoli!$E$2:$AB$41,AA94)&gt;1,"DUPLICATO","Tavolo "&amp;SUMPRODUCT((Tavoli!$E$2:$AB$41=AA94)*Tavoli!$A$2:$A$41))))</f>
        <v/>
      </c>
    </row>
    <row r="95">
      <c r="A95" s="6" t="inlineStr">
        <is>
          <t>Giorgio</t>
        </is>
      </c>
      <c r="B95" s="6" t="inlineStr">
        <is>
          <t>Bianchi</t>
        </is>
      </c>
      <c r="C95" s="6" t="inlineStr">
        <is>
          <t>Adulto</t>
        </is>
      </c>
      <c r="D95" s="6" t="inlineStr">
        <is>
          <t>Vegetariano</t>
        </is>
      </c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6" t="n"/>
      <c r="Z95" s="6" t="n"/>
      <c r="AA95" s="8">
        <f>IF(OR(A95&lt;&gt;"",B95&lt;&gt;""),TRIM(A95&amp;" "&amp;B95),"")</f>
        <v/>
      </c>
      <c r="AB95" s="8">
        <f>IF(AA95="","",IF(COUNTIF(Tavoli!$E$2:$AB$41,AA95)=0,"Da assegnare",IF(COUNTIF(Tavoli!$E$2:$AB$41,AA95)&gt;1,"DUPLICATO","Tavolo "&amp;SUMPRODUCT((Tavoli!$E$2:$AB$41=AA95)*Tavoli!$A$2:$A$41))))</f>
        <v/>
      </c>
    </row>
    <row r="96">
      <c r="A96" s="6" t="inlineStr">
        <is>
          <t>Silvia</t>
        </is>
      </c>
      <c r="B96" s="6" t="inlineStr">
        <is>
          <t>Mancini</t>
        </is>
      </c>
      <c r="C96" s="6" t="inlineStr">
        <is>
          <t>Adulto</t>
        </is>
      </c>
      <c r="D96" s="6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6" t="n"/>
      <c r="Z96" s="6" t="n"/>
      <c r="AA96" s="8">
        <f>IF(OR(A96&lt;&gt;"",B96&lt;&gt;""),TRIM(A96&amp;" "&amp;B96),"")</f>
        <v/>
      </c>
      <c r="AB96" s="8">
        <f>IF(AA96="","",IF(COUNTIF(Tavoli!$E$2:$AB$41,AA96)=0,"Da assegnare",IF(COUNTIF(Tavoli!$E$2:$AB$41,AA96)&gt;1,"DUPLICATO","Tavolo "&amp;SUMPRODUCT((Tavoli!$E$2:$AB$41=AA96)*Tavoli!$A$2:$A$41))))</f>
        <v/>
      </c>
    </row>
    <row r="97">
      <c r="A97" s="6" t="inlineStr">
        <is>
          <t>Davide</t>
        </is>
      </c>
      <c r="B97" s="6" t="inlineStr">
        <is>
          <t>Giordano</t>
        </is>
      </c>
      <c r="C97" s="6" t="inlineStr">
        <is>
          <t>Adulto</t>
        </is>
      </c>
      <c r="D97" s="6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6" t="n"/>
      <c r="Z97" s="6" t="n"/>
      <c r="AA97" s="8">
        <f>IF(OR(A97&lt;&gt;"",B97&lt;&gt;""),TRIM(A97&amp;" "&amp;B97),"")</f>
        <v/>
      </c>
      <c r="AB97" s="8">
        <f>IF(AA97="","",IF(COUNTIF(Tavoli!$E$2:$AB$41,AA97)=0,"Da assegnare",IF(COUNTIF(Tavoli!$E$2:$AB$41,AA97)&gt;1,"DUPLICATO","Tavolo "&amp;SUMPRODUCT((Tavoli!$E$2:$AB$41=AA97)*Tavoli!$A$2:$A$41))))</f>
        <v/>
      </c>
    </row>
    <row r="98">
      <c r="A98" s="6" t="inlineStr">
        <is>
          <t>Valentina</t>
        </is>
      </c>
      <c r="B98" s="6" t="inlineStr">
        <is>
          <t>Moretti</t>
        </is>
      </c>
      <c r="C98" s="6" t="inlineStr">
        <is>
          <t>Adulto</t>
        </is>
      </c>
      <c r="D98" s="6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6" t="n"/>
      <c r="Z98" s="6" t="n"/>
      <c r="AA98" s="8">
        <f>IF(OR(A98&lt;&gt;"",B98&lt;&gt;""),TRIM(A98&amp;" "&amp;B98),"")</f>
        <v/>
      </c>
      <c r="AB98" s="8">
        <f>IF(AA98="","",IF(COUNTIF(Tavoli!$E$2:$AB$41,AA98)=0,"Da assegnare",IF(COUNTIF(Tavoli!$E$2:$AB$41,AA98)&gt;1,"DUPLICATO","Tavolo "&amp;SUMPRODUCT((Tavoli!$E$2:$AB$41=AA98)*Tavoli!$A$2:$A$41))))</f>
        <v/>
      </c>
    </row>
    <row r="99">
      <c r="A99" s="6" t="inlineStr">
        <is>
          <t>Elisa</t>
        </is>
      </c>
      <c r="B99" s="6" t="inlineStr">
        <is>
          <t>Greco</t>
        </is>
      </c>
      <c r="C99" s="6" t="inlineStr">
        <is>
          <t>Adulto</t>
        </is>
      </c>
      <c r="D99" s="6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6" t="n"/>
      <c r="Z99" s="6" t="n"/>
      <c r="AA99" s="8">
        <f>IF(OR(A99&lt;&gt;"",B99&lt;&gt;""),TRIM(A99&amp;" "&amp;B99),"")</f>
        <v/>
      </c>
      <c r="AB99" s="8">
        <f>IF(AA99="","",IF(COUNTIF(Tavoli!$E$2:$AB$41,AA99)=0,"Da assegnare",IF(COUNTIF(Tavoli!$E$2:$AB$41,AA99)&gt;1,"DUPLICATO","Tavolo "&amp;SUMPRODUCT((Tavoli!$E$2:$AB$41=AA99)*Tavoli!$A$2:$A$41))))</f>
        <v/>
      </c>
    </row>
    <row r="100">
      <c r="A100" s="6" t="inlineStr">
        <is>
          <t>Sara</t>
        </is>
      </c>
      <c r="B100" s="6" t="inlineStr">
        <is>
          <t>Luca</t>
        </is>
      </c>
      <c r="C100" s="6" t="inlineStr">
        <is>
          <t>Adulto</t>
        </is>
      </c>
      <c r="D100" s="6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6" t="n"/>
      <c r="Z100" s="6" t="n"/>
      <c r="AA100" s="8">
        <f>IF(OR(A100&lt;&gt;"",B100&lt;&gt;""),TRIM(A100&amp;" "&amp;B100),"")</f>
        <v/>
      </c>
      <c r="AB100" s="8">
        <f>IF(AA100="","",IF(COUNTIF(Tavoli!$E$2:$AB$41,AA100)=0,"Da assegnare",IF(COUNTIF(Tavoli!$E$2:$AB$41,AA100)&gt;1,"DUPLICATO","Tavolo "&amp;SUMPRODUCT((Tavoli!$E$2:$AB$41=AA100)*Tavoli!$A$2:$A$41))))</f>
        <v/>
      </c>
    </row>
    <row r="101">
      <c r="A101" s="6" t="inlineStr">
        <is>
          <t>Giorgio</t>
        </is>
      </c>
      <c r="B101" s="6" t="inlineStr">
        <is>
          <t>Gallo</t>
        </is>
      </c>
      <c r="C101" s="6" t="inlineStr">
        <is>
          <t>Bambino</t>
        </is>
      </c>
      <c r="D101" s="6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6" t="n"/>
      <c r="Z101" s="6" t="n"/>
      <c r="AA101" s="8">
        <f>IF(OR(A101&lt;&gt;"",B101&lt;&gt;""),TRIM(A101&amp;" "&amp;B101),"")</f>
        <v/>
      </c>
      <c r="AB101" s="8">
        <f>IF(AA101="","",IF(COUNTIF(Tavoli!$E$2:$AB$41,AA101)=0,"Da assegnare",IF(COUNTIF(Tavoli!$E$2:$AB$41,AA101)&gt;1,"DUPLICATO","Tavolo "&amp;SUMPRODUCT((Tavoli!$E$2:$AB$41=AA101)*Tavoli!$A$2:$A$41))))</f>
        <v/>
      </c>
    </row>
    <row r="102">
      <c r="A102" s="6" t="inlineStr">
        <is>
          <t>Riccardo</t>
        </is>
      </c>
      <c r="B102" s="6" t="inlineStr">
        <is>
          <t>Romano</t>
        </is>
      </c>
      <c r="C102" s="6" t="inlineStr">
        <is>
          <t>Adulto</t>
        </is>
      </c>
      <c r="D102" s="6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inlineStr">
        <is>
          <t>X</t>
        </is>
      </c>
      <c r="R102" s="7" t="n"/>
      <c r="S102" s="7" t="n"/>
      <c r="T102" s="7" t="n"/>
      <c r="U102" s="7" t="n"/>
      <c r="V102" s="7" t="n"/>
      <c r="W102" s="7" t="n"/>
      <c r="X102" s="7" t="n"/>
      <c r="Y102" s="6" t="n"/>
      <c r="Z102" s="6" t="n"/>
      <c r="AA102" s="8">
        <f>IF(OR(A102&lt;&gt;"",B102&lt;&gt;""),TRIM(A102&amp;" "&amp;B102),"")</f>
        <v/>
      </c>
      <c r="AB102" s="8">
        <f>IF(AA102="","",IF(COUNTIF(Tavoli!$E$2:$AB$41,AA102)=0,"Da assegnare",IF(COUNTIF(Tavoli!$E$2:$AB$41,AA102)&gt;1,"DUPLICATO","Tavolo "&amp;SUMPRODUCT((Tavoli!$E$2:$AB$41=AA102)*Tavoli!$A$2:$A$41))))</f>
        <v/>
      </c>
    </row>
    <row r="103">
      <c r="A103" s="6" t="inlineStr">
        <is>
          <t>Beatrice</t>
        </is>
      </c>
      <c r="B103" s="6" t="inlineStr">
        <is>
          <t>Bianchi</t>
        </is>
      </c>
      <c r="C103" s="6" t="inlineStr">
        <is>
          <t>Adulto</t>
        </is>
      </c>
      <c r="D103" s="6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6" t="n"/>
      <c r="Z103" s="6" t="n"/>
      <c r="AA103" s="8">
        <f>IF(OR(A103&lt;&gt;"",B103&lt;&gt;""),TRIM(A103&amp;" "&amp;B103),"")</f>
        <v/>
      </c>
      <c r="AB103" s="8">
        <f>IF(AA103="","",IF(COUNTIF(Tavoli!$E$2:$AB$41,AA103)=0,"Da assegnare",IF(COUNTIF(Tavoli!$E$2:$AB$41,AA103)&gt;1,"DUPLICATO","Tavolo "&amp;SUMPRODUCT((Tavoli!$E$2:$AB$41=AA103)*Tavoli!$A$2:$A$41))))</f>
        <v/>
      </c>
    </row>
    <row r="104">
      <c r="A104" s="6" t="inlineStr">
        <is>
          <t>Laura</t>
        </is>
      </c>
      <c r="B104" s="6" t="inlineStr">
        <is>
          <t>Leone</t>
        </is>
      </c>
      <c r="C104" s="6" t="inlineStr">
        <is>
          <t>Adulto</t>
        </is>
      </c>
      <c r="D104" s="6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inlineStr">
        <is>
          <t>X</t>
        </is>
      </c>
      <c r="U104" s="7" t="n"/>
      <c r="V104" s="7" t="n"/>
      <c r="W104" s="7" t="n"/>
      <c r="X104" s="7" t="n"/>
      <c r="Y104" s="6" t="n"/>
      <c r="Z104" s="6" t="n"/>
      <c r="AA104" s="8">
        <f>IF(OR(A104&lt;&gt;"",B104&lt;&gt;""),TRIM(A104&amp;" "&amp;B104),"")</f>
        <v/>
      </c>
      <c r="AB104" s="8">
        <f>IF(AA104="","",IF(COUNTIF(Tavoli!$E$2:$AB$41,AA104)=0,"Da assegnare",IF(COUNTIF(Tavoli!$E$2:$AB$41,AA104)&gt;1,"DUPLICATO","Tavolo "&amp;SUMPRODUCT((Tavoli!$E$2:$AB$41=AA104)*Tavoli!$A$2:$A$41))))</f>
        <v/>
      </c>
    </row>
    <row r="105">
      <c r="A105" s="6" t="inlineStr">
        <is>
          <t>Paolo</t>
        </is>
      </c>
      <c r="B105" s="6" t="inlineStr">
        <is>
          <t>Vitale</t>
        </is>
      </c>
      <c r="C105" s="6" t="inlineStr">
        <is>
          <t>Neonato</t>
        </is>
      </c>
      <c r="D105" s="6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6" t="n"/>
      <c r="Z105" s="6" t="n"/>
      <c r="AA105" s="8">
        <f>IF(OR(A105&lt;&gt;"",B105&lt;&gt;""),TRIM(A105&amp;" "&amp;B105),"")</f>
        <v/>
      </c>
      <c r="AB105" s="8">
        <f>IF(AA105="","",IF(COUNTIF(Tavoli!$E$2:$AB$41,AA105)=0,"Da assegnare",IF(COUNTIF(Tavoli!$E$2:$AB$41,AA105)&gt;1,"DUPLICATO","Tavolo "&amp;SUMPRODUCT((Tavoli!$E$2:$AB$41=AA105)*Tavoli!$A$2:$A$41))))</f>
        <v/>
      </c>
    </row>
    <row r="106">
      <c r="A106" s="6" t="inlineStr">
        <is>
          <t>Gabriele</t>
        </is>
      </c>
      <c r="B106" s="6" t="inlineStr">
        <is>
          <t>Colombo</t>
        </is>
      </c>
      <c r="C106" s="6" t="inlineStr">
        <is>
          <t>Adulto</t>
        </is>
      </c>
      <c r="D106" s="6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6" t="n"/>
      <c r="Z106" s="6" t="n"/>
      <c r="AA106" s="8">
        <f>IF(OR(A106&lt;&gt;"",B106&lt;&gt;""),TRIM(A106&amp;" "&amp;B106),"")</f>
        <v/>
      </c>
      <c r="AB106" s="8">
        <f>IF(AA106="","",IF(COUNTIF(Tavoli!$E$2:$AB$41,AA106)=0,"Da assegnare",IF(COUNTIF(Tavoli!$E$2:$AB$41,AA106)&gt;1,"DUPLICATO","Tavolo "&amp;SUMPRODUCT((Tavoli!$E$2:$AB$41=AA106)*Tavoli!$A$2:$A$41))))</f>
        <v/>
      </c>
    </row>
    <row r="107">
      <c r="A107" s="6" t="inlineStr">
        <is>
          <t>Enrico</t>
        </is>
      </c>
      <c r="B107" s="6" t="inlineStr">
        <is>
          <t>Serra</t>
        </is>
      </c>
      <c r="C107" s="6" t="inlineStr">
        <is>
          <t>Bambino</t>
        </is>
      </c>
      <c r="D107" s="6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6" t="n"/>
      <c r="Z107" s="6" t="n"/>
      <c r="AA107" s="8">
        <f>IF(OR(A107&lt;&gt;"",B107&lt;&gt;""),TRIM(A107&amp;" "&amp;B107),"")</f>
        <v/>
      </c>
      <c r="AB107" s="8">
        <f>IF(AA107="","",IF(COUNTIF(Tavoli!$E$2:$AB$41,AA107)=0,"Da assegnare",IF(COUNTIF(Tavoli!$E$2:$AB$41,AA107)&gt;1,"DUPLICATO","Tavolo "&amp;SUMPRODUCT((Tavoli!$E$2:$AB$41=AA107)*Tavoli!$A$2:$A$41))))</f>
        <v/>
      </c>
    </row>
    <row r="108">
      <c r="A108" s="6" t="inlineStr">
        <is>
          <t>Luca</t>
        </is>
      </c>
      <c r="B108" s="6" t="inlineStr">
        <is>
          <t>Longo</t>
        </is>
      </c>
      <c r="C108" s="6" t="inlineStr">
        <is>
          <t>Adulto</t>
        </is>
      </c>
      <c r="D108" s="6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6" t="n"/>
      <c r="Z108" s="6" t="n"/>
      <c r="AA108" s="8">
        <f>IF(OR(A108&lt;&gt;"",B108&lt;&gt;""),TRIM(A108&amp;" "&amp;B108),"")</f>
        <v/>
      </c>
      <c r="AB108" s="8">
        <f>IF(AA108="","",IF(COUNTIF(Tavoli!$E$2:$AB$41,AA108)=0,"Da assegnare",IF(COUNTIF(Tavoli!$E$2:$AB$41,AA108)&gt;1,"DUPLICATO","Tavolo "&amp;SUMPRODUCT((Tavoli!$E$2:$AB$41=AA108)*Tavoli!$A$2:$A$41))))</f>
        <v/>
      </c>
    </row>
    <row r="109">
      <c r="A109" s="6" t="inlineStr">
        <is>
          <t>Irene</t>
        </is>
      </c>
      <c r="B109" s="6" t="inlineStr">
        <is>
          <t>Mancini</t>
        </is>
      </c>
      <c r="C109" s="6" t="inlineStr">
        <is>
          <t>Adulto</t>
        </is>
      </c>
      <c r="D109" s="6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6" t="n"/>
      <c r="Z109" s="6" t="n"/>
      <c r="AA109" s="8">
        <f>IF(OR(A109&lt;&gt;"",B109&lt;&gt;""),TRIM(A109&amp;" "&amp;B109),"")</f>
        <v/>
      </c>
      <c r="AB109" s="8">
        <f>IF(AA109="","",IF(COUNTIF(Tavoli!$E$2:$AB$41,AA109)=0,"Da assegnare",IF(COUNTIF(Tavoli!$E$2:$AB$41,AA109)&gt;1,"DUPLICATO","Tavolo "&amp;SUMPRODUCT((Tavoli!$E$2:$AB$41=AA109)*Tavoli!$A$2:$A$41))))</f>
        <v/>
      </c>
    </row>
    <row r="110">
      <c r="A110" s="6" t="inlineStr">
        <is>
          <t>Enrico</t>
        </is>
      </c>
      <c r="B110" s="6" t="inlineStr">
        <is>
          <t>Fontana</t>
        </is>
      </c>
      <c r="C110" s="6" t="inlineStr">
        <is>
          <t>Adulto</t>
        </is>
      </c>
      <c r="D110" s="6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6" t="n"/>
      <c r="Z110" s="6" t="n"/>
      <c r="AA110" s="8">
        <f>IF(OR(A110&lt;&gt;"",B110&lt;&gt;""),TRIM(A110&amp;" "&amp;B110),"")</f>
        <v/>
      </c>
      <c r="AB110" s="8">
        <f>IF(AA110="","",IF(COUNTIF(Tavoli!$E$2:$AB$41,AA110)=0,"Da assegnare",IF(COUNTIF(Tavoli!$E$2:$AB$41,AA110)&gt;1,"DUPLICATO","Tavolo "&amp;SUMPRODUCT((Tavoli!$E$2:$AB$41=AA110)*Tavoli!$A$2:$A$41))))</f>
        <v/>
      </c>
    </row>
    <row r="111">
      <c r="A111" s="6" t="inlineStr">
        <is>
          <t>Matteo</t>
        </is>
      </c>
      <c r="B111" s="6" t="inlineStr">
        <is>
          <t>Leone</t>
        </is>
      </c>
      <c r="C111" s="6" t="inlineStr">
        <is>
          <t>Adulto</t>
        </is>
      </c>
      <c r="D111" s="6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6" t="n"/>
      <c r="Z111" s="6" t="n"/>
      <c r="AA111" s="8">
        <f>IF(OR(A111&lt;&gt;"",B111&lt;&gt;""),TRIM(A111&amp;" "&amp;B111),"")</f>
        <v/>
      </c>
      <c r="AB111" s="8">
        <f>IF(AA111="","",IF(COUNTIF(Tavoli!$E$2:$AB$41,AA111)=0,"Da assegnare",IF(COUNTIF(Tavoli!$E$2:$AB$41,AA111)&gt;1,"DUPLICATO","Tavolo "&amp;SUMPRODUCT((Tavoli!$E$2:$AB$41=AA111)*Tavoli!$A$2:$A$41))))</f>
        <v/>
      </c>
    </row>
    <row r="112">
      <c r="A112" s="6" t="inlineStr">
        <is>
          <t>Sara</t>
        </is>
      </c>
      <c r="B112" s="6" t="inlineStr">
        <is>
          <t>Gentile</t>
        </is>
      </c>
      <c r="C112" s="6" t="inlineStr">
        <is>
          <t>Adulto</t>
        </is>
      </c>
      <c r="D112" s="6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6" t="n"/>
      <c r="Z112" s="6" t="n"/>
      <c r="AA112" s="8">
        <f>IF(OR(A112&lt;&gt;"",B112&lt;&gt;""),TRIM(A112&amp;" "&amp;B112),"")</f>
        <v/>
      </c>
      <c r="AB112" s="8">
        <f>IF(AA112="","",IF(COUNTIF(Tavoli!$E$2:$AB$41,AA112)=0,"Da assegnare",IF(COUNTIF(Tavoli!$E$2:$AB$41,AA112)&gt;1,"DUPLICATO","Tavolo "&amp;SUMPRODUCT((Tavoli!$E$2:$AB$41=AA112)*Tavoli!$A$2:$A$41))))</f>
        <v/>
      </c>
    </row>
    <row r="113">
      <c r="A113" s="6" t="inlineStr">
        <is>
          <t>Chiara</t>
        </is>
      </c>
      <c r="B113" s="6" t="inlineStr">
        <is>
          <t>De</t>
        </is>
      </c>
      <c r="C113" s="6" t="inlineStr">
        <is>
          <t>Adulto</t>
        </is>
      </c>
      <c r="D113" s="6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6" t="n"/>
      <c r="Z113" s="6" t="n"/>
      <c r="AA113" s="8">
        <f>IF(OR(A113&lt;&gt;"",B113&lt;&gt;""),TRIM(A113&amp;" "&amp;B113),"")</f>
        <v/>
      </c>
      <c r="AB113" s="8">
        <f>IF(AA113="","",IF(COUNTIF(Tavoli!$E$2:$AB$41,AA113)=0,"Da assegnare",IF(COUNTIF(Tavoli!$E$2:$AB$41,AA113)&gt;1,"DUPLICATO","Tavolo "&amp;SUMPRODUCT((Tavoli!$E$2:$AB$41=AA113)*Tavoli!$A$2:$A$41))))</f>
        <v/>
      </c>
    </row>
    <row r="114">
      <c r="A114" s="6" t="inlineStr">
        <is>
          <t>Paolo</t>
        </is>
      </c>
      <c r="B114" s="6" t="inlineStr">
        <is>
          <t>Luca</t>
        </is>
      </c>
      <c r="C114" s="6" t="inlineStr">
        <is>
          <t>Adulto</t>
        </is>
      </c>
      <c r="D114" s="6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6" t="n"/>
      <c r="Z114" s="6" t="n"/>
      <c r="AA114" s="8">
        <f>IF(OR(A114&lt;&gt;"",B114&lt;&gt;""),TRIM(A114&amp;" "&amp;B114),"")</f>
        <v/>
      </c>
      <c r="AB114" s="8">
        <f>IF(AA114="","",IF(COUNTIF(Tavoli!$E$2:$AB$41,AA114)=0,"Da assegnare",IF(COUNTIF(Tavoli!$E$2:$AB$41,AA114)&gt;1,"DUPLICATO","Tavolo "&amp;SUMPRODUCT((Tavoli!$E$2:$AB$41=AA114)*Tavoli!$A$2:$A$41))))</f>
        <v/>
      </c>
    </row>
    <row r="115">
      <c r="A115" s="6" t="inlineStr">
        <is>
          <t>Simone</t>
        </is>
      </c>
      <c r="B115" s="6" t="inlineStr">
        <is>
          <t>Serra</t>
        </is>
      </c>
      <c r="C115" s="6" t="inlineStr">
        <is>
          <t>Adulto</t>
        </is>
      </c>
      <c r="D115" s="6" t="inlineStr">
        <is>
          <t>Vegetariano</t>
        </is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6" t="n"/>
      <c r="Z115" s="6" t="n"/>
      <c r="AA115" s="8">
        <f>IF(OR(A115&lt;&gt;"",B115&lt;&gt;""),TRIM(A115&amp;" "&amp;B115),"")</f>
        <v/>
      </c>
      <c r="AB115" s="8">
        <f>IF(AA115="","",IF(COUNTIF(Tavoli!$E$2:$AB$41,AA115)=0,"Da assegnare",IF(COUNTIF(Tavoli!$E$2:$AB$41,AA115)&gt;1,"DUPLICATO","Tavolo "&amp;SUMPRODUCT((Tavoli!$E$2:$AB$41=AA115)*Tavoli!$A$2:$A$41))))</f>
        <v/>
      </c>
    </row>
    <row r="116">
      <c r="A116" s="6" t="inlineStr">
        <is>
          <t>Daniele</t>
        </is>
      </c>
      <c r="B116" s="6" t="inlineStr">
        <is>
          <t>Giordano</t>
        </is>
      </c>
      <c r="C116" s="6" t="inlineStr">
        <is>
          <t>Adulto</t>
        </is>
      </c>
      <c r="D116" s="6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6" t="n"/>
      <c r="Z116" s="6" t="n"/>
      <c r="AA116" s="8">
        <f>IF(OR(A116&lt;&gt;"",B116&lt;&gt;""),TRIM(A116&amp;" "&amp;B116),"")</f>
        <v/>
      </c>
      <c r="AB116" s="8">
        <f>IF(AA116="","",IF(COUNTIF(Tavoli!$E$2:$AB$41,AA116)=0,"Da assegnare",IF(COUNTIF(Tavoli!$E$2:$AB$41,AA116)&gt;1,"DUPLICATO","Tavolo "&amp;SUMPRODUCT((Tavoli!$E$2:$AB$41=AA116)*Tavoli!$A$2:$A$41))))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6" t="n"/>
      <c r="Z117" s="6" t="n"/>
      <c r="AA117" s="8">
        <f>IF(OR(A117&lt;&gt;"",B117&lt;&gt;""),TRIM(A117&amp;" "&amp;B117),"")</f>
        <v/>
      </c>
      <c r="AB117" s="8">
        <f>IF(AA117="","",IF(COUNTIF(Tavoli!$E$2:$AB$41,AA117)=0,"Da assegnare",IF(COUNTIF(Tavoli!$E$2:$AB$41,AA117)&gt;1,"DUPLICATO","Tavolo "&amp;SUMPRODUCT((Tavoli!$E$2:$AB$41=AA117)*Tavoli!$A$2:$A$41))))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6" t="n"/>
      <c r="Z118" s="6" t="n"/>
      <c r="AA118" s="8">
        <f>IF(OR(A118&lt;&gt;"",B118&lt;&gt;""),TRIM(A118&amp;" "&amp;B118),"")</f>
        <v/>
      </c>
      <c r="AB118" s="8">
        <f>IF(AA118="","",IF(COUNTIF(Tavoli!$E$2:$AB$41,AA118)=0,"Da assegnare",IF(COUNTIF(Tavoli!$E$2:$AB$41,AA118)&gt;1,"DUPLICATO","Tavolo "&amp;SUMPRODUCT((Tavoli!$E$2:$AB$41=AA118)*Tavoli!$A$2:$A$41))))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6" t="n"/>
      <c r="Z119" s="6" t="n"/>
      <c r="AA119" s="8">
        <f>IF(OR(A119&lt;&gt;"",B119&lt;&gt;""),TRIM(A119&amp;" "&amp;B119),"")</f>
        <v/>
      </c>
      <c r="AB119" s="8">
        <f>IF(AA119="","",IF(COUNTIF(Tavoli!$E$2:$AB$41,AA119)=0,"Da assegnare",IF(COUNTIF(Tavoli!$E$2:$AB$41,AA119)&gt;1,"DUPLICATO","Tavolo "&amp;SUMPRODUCT((Tavoli!$E$2:$AB$41=AA119)*Tavoli!$A$2:$A$41))))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6" t="n"/>
      <c r="Z120" s="6" t="n"/>
      <c r="AA120" s="8">
        <f>IF(OR(A120&lt;&gt;"",B120&lt;&gt;""),TRIM(A120&amp;" "&amp;B120),"")</f>
        <v/>
      </c>
      <c r="AB120" s="8">
        <f>IF(AA120="","",IF(COUNTIF(Tavoli!$E$2:$AB$41,AA120)=0,"Da assegnare",IF(COUNTIF(Tavoli!$E$2:$AB$41,AA120)&gt;1,"DUPLICATO","Tavolo "&amp;SUMPRODUCT((Tavoli!$E$2:$AB$41=AA120)*Tavoli!$A$2:$A$41))))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6" t="n"/>
      <c r="Z121" s="6" t="n"/>
      <c r="AA121" s="8">
        <f>IF(OR(A121&lt;&gt;"",B121&lt;&gt;""),TRIM(A121&amp;" "&amp;B121),"")</f>
        <v/>
      </c>
      <c r="AB121" s="8">
        <f>IF(AA121="","",IF(COUNTIF(Tavoli!$E$2:$AB$41,AA121)=0,"Da assegnare",IF(COUNTIF(Tavoli!$E$2:$AB$41,AA121)&gt;1,"DUPLICATO","Tavolo "&amp;SUMPRODUCT((Tavoli!$E$2:$AB$41=AA121)*Tavoli!$A$2:$A$41))))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6" t="n"/>
      <c r="Z122" s="6" t="n"/>
      <c r="AA122" s="8">
        <f>IF(OR(A122&lt;&gt;"",B122&lt;&gt;""),TRIM(A122&amp;" "&amp;B122),"")</f>
        <v/>
      </c>
      <c r="AB122" s="8">
        <f>IF(AA122="","",IF(COUNTIF(Tavoli!$E$2:$AB$41,AA122)=0,"Da assegnare",IF(COUNTIF(Tavoli!$E$2:$AB$41,AA122)&gt;1,"DUPLICATO","Tavolo "&amp;SUMPRODUCT((Tavoli!$E$2:$AB$41=AA122)*Tavoli!$A$2:$A$41))))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6" t="n"/>
      <c r="Z123" s="6" t="n"/>
      <c r="AA123" s="8">
        <f>IF(OR(A123&lt;&gt;"",B123&lt;&gt;""),TRIM(A123&amp;" "&amp;B123),"")</f>
        <v/>
      </c>
      <c r="AB123" s="8">
        <f>IF(AA123="","",IF(COUNTIF(Tavoli!$E$2:$AB$41,AA123)=0,"Da assegnare",IF(COUNTIF(Tavoli!$E$2:$AB$41,AA123)&gt;1,"DUPLICATO","Tavolo "&amp;SUMPRODUCT((Tavoli!$E$2:$AB$41=AA123)*Tavoli!$A$2:$A$41))))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6" t="n"/>
      <c r="Z124" s="6" t="n"/>
      <c r="AA124" s="8">
        <f>IF(OR(A124&lt;&gt;"",B124&lt;&gt;""),TRIM(A124&amp;" "&amp;B124),"")</f>
        <v/>
      </c>
      <c r="AB124" s="8">
        <f>IF(AA124="","",IF(COUNTIF(Tavoli!$E$2:$AB$41,AA124)=0,"Da assegnare",IF(COUNTIF(Tavoli!$E$2:$AB$41,AA124)&gt;1,"DUPLICATO","Tavolo "&amp;SUMPRODUCT((Tavoli!$E$2:$AB$41=AA124)*Tavoli!$A$2:$A$41))))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6" t="n"/>
      <c r="Z125" s="6" t="n"/>
      <c r="AA125" s="8">
        <f>IF(OR(A125&lt;&gt;"",B125&lt;&gt;""),TRIM(A125&amp;" "&amp;B125),"")</f>
        <v/>
      </c>
      <c r="AB125" s="8">
        <f>IF(AA125="","",IF(COUNTIF(Tavoli!$E$2:$AB$41,AA125)=0,"Da assegnare",IF(COUNTIF(Tavoli!$E$2:$AB$41,AA125)&gt;1,"DUPLICATO","Tavolo "&amp;SUMPRODUCT((Tavoli!$E$2:$AB$41=AA125)*Tavoli!$A$2:$A$41))))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6" t="n"/>
      <c r="Z126" s="6" t="n"/>
      <c r="AA126" s="8">
        <f>IF(OR(A126&lt;&gt;"",B126&lt;&gt;""),TRIM(A126&amp;" "&amp;B126),"")</f>
        <v/>
      </c>
      <c r="AB126" s="8">
        <f>IF(AA126="","",IF(COUNTIF(Tavoli!$E$2:$AB$41,AA126)=0,"Da assegnare",IF(COUNTIF(Tavoli!$E$2:$AB$41,AA126)&gt;1,"DUPLICATO","Tavolo "&amp;SUMPRODUCT((Tavoli!$E$2:$AB$41=AA126)*Tavoli!$A$2:$A$41))))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6" t="n"/>
      <c r="Z127" s="6" t="n"/>
      <c r="AA127" s="8">
        <f>IF(OR(A127&lt;&gt;"",B127&lt;&gt;""),TRIM(A127&amp;" "&amp;B127),"")</f>
        <v/>
      </c>
      <c r="AB127" s="8">
        <f>IF(AA127="","",IF(COUNTIF(Tavoli!$E$2:$AB$41,AA127)=0,"Da assegnare",IF(COUNTIF(Tavoli!$E$2:$AB$41,AA127)&gt;1,"DUPLICATO","Tavolo "&amp;SUMPRODUCT((Tavoli!$E$2:$AB$41=AA127)*Tavoli!$A$2:$A$41))))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6" t="n"/>
      <c r="Z128" s="6" t="n"/>
      <c r="AA128" s="8">
        <f>IF(OR(A128&lt;&gt;"",B128&lt;&gt;""),TRIM(A128&amp;" "&amp;B128),"")</f>
        <v/>
      </c>
      <c r="AB128" s="8">
        <f>IF(AA128="","",IF(COUNTIF(Tavoli!$E$2:$AB$41,AA128)=0,"Da assegnare",IF(COUNTIF(Tavoli!$E$2:$AB$41,AA128)&gt;1,"DUPLICATO","Tavolo "&amp;SUMPRODUCT((Tavoli!$E$2:$AB$41=AA128)*Tavoli!$A$2:$A$41))))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6" t="n"/>
      <c r="Z129" s="6" t="n"/>
      <c r="AA129" s="8">
        <f>IF(OR(A129&lt;&gt;"",B129&lt;&gt;""),TRIM(A129&amp;" "&amp;B129),"")</f>
        <v/>
      </c>
      <c r="AB129" s="8">
        <f>IF(AA129="","",IF(COUNTIF(Tavoli!$E$2:$AB$41,AA129)=0,"Da assegnare",IF(COUNTIF(Tavoli!$E$2:$AB$41,AA129)&gt;1,"DUPLICATO","Tavolo "&amp;SUMPRODUCT((Tavoli!$E$2:$AB$41=AA129)*Tavoli!$A$2:$A$41))))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6" t="n"/>
      <c r="Z130" s="6" t="n"/>
      <c r="AA130" s="8">
        <f>IF(OR(A130&lt;&gt;"",B130&lt;&gt;""),TRIM(A130&amp;" "&amp;B130),"")</f>
        <v/>
      </c>
      <c r="AB130" s="8">
        <f>IF(AA130="","",IF(COUNTIF(Tavoli!$E$2:$AB$41,AA130)=0,"Da assegnare",IF(COUNTIF(Tavoli!$E$2:$AB$41,AA130)&gt;1,"DUPLICATO","Tavolo "&amp;SUMPRODUCT((Tavoli!$E$2:$AB$41=AA130)*Tavoli!$A$2:$A$41))))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6" t="n"/>
      <c r="Z131" s="6" t="n"/>
      <c r="AA131" s="8">
        <f>IF(OR(A131&lt;&gt;"",B131&lt;&gt;""),TRIM(A131&amp;" "&amp;B131),"")</f>
        <v/>
      </c>
      <c r="AB131" s="8">
        <f>IF(AA131="","",IF(COUNTIF(Tavoli!$E$2:$AB$41,AA131)=0,"Da assegnare",IF(COUNTIF(Tavoli!$E$2:$AB$41,AA131)&gt;1,"DUPLICATO","Tavolo "&amp;SUMPRODUCT((Tavoli!$E$2:$AB$41=AA131)*Tavoli!$A$2:$A$41))))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6" t="n"/>
      <c r="Z132" s="6" t="n"/>
      <c r="AA132" s="8">
        <f>IF(OR(A132&lt;&gt;"",B132&lt;&gt;""),TRIM(A132&amp;" "&amp;B132),"")</f>
        <v/>
      </c>
      <c r="AB132" s="8">
        <f>IF(AA132="","",IF(COUNTIF(Tavoli!$E$2:$AB$41,AA132)=0,"Da assegnare",IF(COUNTIF(Tavoli!$E$2:$AB$41,AA132)&gt;1,"DUPLICATO","Tavolo "&amp;SUMPRODUCT((Tavoli!$E$2:$AB$41=AA132)*Tavoli!$A$2:$A$41))))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6" t="n"/>
      <c r="Z133" s="6" t="n"/>
      <c r="AA133" s="8">
        <f>IF(OR(A133&lt;&gt;"",B133&lt;&gt;""),TRIM(A133&amp;" "&amp;B133),"")</f>
        <v/>
      </c>
      <c r="AB133" s="8">
        <f>IF(AA133="","",IF(COUNTIF(Tavoli!$E$2:$AB$41,AA133)=0,"Da assegnare",IF(COUNTIF(Tavoli!$E$2:$AB$41,AA133)&gt;1,"DUPLICATO","Tavolo "&amp;SUMPRODUCT((Tavoli!$E$2:$AB$41=AA133)*Tavoli!$A$2:$A$41))))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6" t="n"/>
      <c r="Z134" s="6" t="n"/>
      <c r="AA134" s="8">
        <f>IF(OR(A134&lt;&gt;"",B134&lt;&gt;""),TRIM(A134&amp;" "&amp;B134),"")</f>
        <v/>
      </c>
      <c r="AB134" s="8">
        <f>IF(AA134="","",IF(COUNTIF(Tavoli!$E$2:$AB$41,AA134)=0,"Da assegnare",IF(COUNTIF(Tavoli!$E$2:$AB$41,AA134)&gt;1,"DUPLICATO","Tavolo "&amp;SUMPRODUCT((Tavoli!$E$2:$AB$41=AA134)*Tavoli!$A$2:$A$41))))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6" t="n"/>
      <c r="Z135" s="6" t="n"/>
      <c r="AA135" s="8">
        <f>IF(OR(A135&lt;&gt;"",B135&lt;&gt;""),TRIM(A135&amp;" "&amp;B135),"")</f>
        <v/>
      </c>
      <c r="AB135" s="8">
        <f>IF(AA135="","",IF(COUNTIF(Tavoli!$E$2:$AB$41,AA135)=0,"Da assegnare",IF(COUNTIF(Tavoli!$E$2:$AB$41,AA135)&gt;1,"DUPLICATO","Tavolo "&amp;SUMPRODUCT((Tavoli!$E$2:$AB$41=AA135)*Tavoli!$A$2:$A$41))))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6" t="n"/>
      <c r="Z136" s="6" t="n"/>
      <c r="AA136" s="8">
        <f>IF(OR(A136&lt;&gt;"",B136&lt;&gt;""),TRIM(A136&amp;" "&amp;B136),"")</f>
        <v/>
      </c>
      <c r="AB136" s="8">
        <f>IF(AA136="","",IF(COUNTIF(Tavoli!$E$2:$AB$41,AA136)=0,"Da assegnare",IF(COUNTIF(Tavoli!$E$2:$AB$41,AA136)&gt;1,"DUPLICATO","Tavolo "&amp;SUMPRODUCT((Tavoli!$E$2:$AB$41=AA136)*Tavoli!$A$2:$A$41))))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6" t="n"/>
      <c r="Z137" s="6" t="n"/>
      <c r="AA137" s="8">
        <f>IF(OR(A137&lt;&gt;"",B137&lt;&gt;""),TRIM(A137&amp;" "&amp;B137),"")</f>
        <v/>
      </c>
      <c r="AB137" s="8">
        <f>IF(AA137="","",IF(COUNTIF(Tavoli!$E$2:$AB$41,AA137)=0,"Da assegnare",IF(COUNTIF(Tavoli!$E$2:$AB$41,AA137)&gt;1,"DUPLICATO","Tavolo "&amp;SUMPRODUCT((Tavoli!$E$2:$AB$41=AA137)*Tavoli!$A$2:$A$41))))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6" t="n"/>
      <c r="Z138" s="6" t="n"/>
      <c r="AA138" s="8">
        <f>IF(OR(A138&lt;&gt;"",B138&lt;&gt;""),TRIM(A138&amp;" "&amp;B138),"")</f>
        <v/>
      </c>
      <c r="AB138" s="8">
        <f>IF(AA138="","",IF(COUNTIF(Tavoli!$E$2:$AB$41,AA138)=0,"Da assegnare",IF(COUNTIF(Tavoli!$E$2:$AB$41,AA138)&gt;1,"DUPLICATO","Tavolo "&amp;SUMPRODUCT((Tavoli!$E$2:$AB$41=AA138)*Tavoli!$A$2:$A$41))))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6" t="n"/>
      <c r="Z139" s="6" t="n"/>
      <c r="AA139" s="8">
        <f>IF(OR(A139&lt;&gt;"",B139&lt;&gt;""),TRIM(A139&amp;" "&amp;B139),"")</f>
        <v/>
      </c>
      <c r="AB139" s="8">
        <f>IF(AA139="","",IF(COUNTIF(Tavoli!$E$2:$AB$41,AA139)=0,"Da assegnare",IF(COUNTIF(Tavoli!$E$2:$AB$41,AA139)&gt;1,"DUPLICATO","Tavolo "&amp;SUMPRODUCT((Tavoli!$E$2:$AB$41=AA139)*Tavoli!$A$2:$A$41))))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6" t="n"/>
      <c r="Z140" s="6" t="n"/>
      <c r="AA140" s="8">
        <f>IF(OR(A140&lt;&gt;"",B140&lt;&gt;""),TRIM(A140&amp;" "&amp;B140),"")</f>
        <v/>
      </c>
      <c r="AB140" s="8">
        <f>IF(AA140="","",IF(COUNTIF(Tavoli!$E$2:$AB$41,AA140)=0,"Da assegnare",IF(COUNTIF(Tavoli!$E$2:$AB$41,AA140)&gt;1,"DUPLICATO","Tavolo "&amp;SUMPRODUCT((Tavoli!$E$2:$AB$41=AA140)*Tavoli!$A$2:$A$41))))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6" t="n"/>
      <c r="Z141" s="6" t="n"/>
      <c r="AA141" s="8">
        <f>IF(OR(A141&lt;&gt;"",B141&lt;&gt;""),TRIM(A141&amp;" "&amp;B141),"")</f>
        <v/>
      </c>
      <c r="AB141" s="8">
        <f>IF(AA141="","",IF(COUNTIF(Tavoli!$E$2:$AB$41,AA141)=0,"Da assegnare",IF(COUNTIF(Tavoli!$E$2:$AB$41,AA141)&gt;1,"DUPLICATO","Tavolo "&amp;SUMPRODUCT((Tavoli!$E$2:$AB$41=AA141)*Tavoli!$A$2:$A$41))))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6" t="n"/>
      <c r="Z142" s="6" t="n"/>
      <c r="AA142" s="8">
        <f>IF(OR(A142&lt;&gt;"",B142&lt;&gt;""),TRIM(A142&amp;" "&amp;B142),"")</f>
        <v/>
      </c>
      <c r="AB142" s="8">
        <f>IF(AA142="","",IF(COUNTIF(Tavoli!$E$2:$AB$41,AA142)=0,"Da assegnare",IF(COUNTIF(Tavoli!$E$2:$AB$41,AA142)&gt;1,"DUPLICATO","Tavolo "&amp;SUMPRODUCT((Tavoli!$E$2:$AB$41=AA142)*Tavoli!$A$2:$A$41))))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6" t="n"/>
      <c r="Z143" s="6" t="n"/>
      <c r="AA143" s="8">
        <f>IF(OR(A143&lt;&gt;"",B143&lt;&gt;""),TRIM(A143&amp;" "&amp;B143),"")</f>
        <v/>
      </c>
      <c r="AB143" s="8">
        <f>IF(AA143="","",IF(COUNTIF(Tavoli!$E$2:$AB$41,AA143)=0,"Da assegnare",IF(COUNTIF(Tavoli!$E$2:$AB$41,AA143)&gt;1,"DUPLICATO","Tavolo "&amp;SUMPRODUCT((Tavoli!$E$2:$AB$41=AA143)*Tavoli!$A$2:$A$41))))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6" t="n"/>
      <c r="Z144" s="6" t="n"/>
      <c r="AA144" s="8">
        <f>IF(OR(A144&lt;&gt;"",B144&lt;&gt;""),TRIM(A144&amp;" "&amp;B144),"")</f>
        <v/>
      </c>
      <c r="AB144" s="8">
        <f>IF(AA144="","",IF(COUNTIF(Tavoli!$E$2:$AB$41,AA144)=0,"Da assegnare",IF(COUNTIF(Tavoli!$E$2:$AB$41,AA144)&gt;1,"DUPLICATO","Tavolo "&amp;SUMPRODUCT((Tavoli!$E$2:$AB$41=AA144)*Tavoli!$A$2:$A$41))))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6" t="n"/>
      <c r="Z145" s="6" t="n"/>
      <c r="AA145" s="8">
        <f>IF(OR(A145&lt;&gt;"",B145&lt;&gt;""),TRIM(A145&amp;" "&amp;B145),"")</f>
        <v/>
      </c>
      <c r="AB145" s="8">
        <f>IF(AA145="","",IF(COUNTIF(Tavoli!$E$2:$AB$41,AA145)=0,"Da assegnare",IF(COUNTIF(Tavoli!$E$2:$AB$41,AA145)&gt;1,"DUPLICATO","Tavolo "&amp;SUMPRODUCT((Tavoli!$E$2:$AB$41=AA145)*Tavoli!$A$2:$A$41))))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6" t="n"/>
      <c r="Z146" s="6" t="n"/>
      <c r="AA146" s="8">
        <f>IF(OR(A146&lt;&gt;"",B146&lt;&gt;""),TRIM(A146&amp;" "&amp;B146),"")</f>
        <v/>
      </c>
      <c r="AB146" s="8">
        <f>IF(AA146="","",IF(COUNTIF(Tavoli!$E$2:$AB$41,AA146)=0,"Da assegnare",IF(COUNTIF(Tavoli!$E$2:$AB$41,AA146)&gt;1,"DUPLICATO","Tavolo "&amp;SUMPRODUCT((Tavoli!$E$2:$AB$41=AA146)*Tavoli!$A$2:$A$41))))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6" t="n"/>
      <c r="Z147" s="6" t="n"/>
      <c r="AA147" s="8">
        <f>IF(OR(A147&lt;&gt;"",B147&lt;&gt;""),TRIM(A147&amp;" "&amp;B147),"")</f>
        <v/>
      </c>
      <c r="AB147" s="8">
        <f>IF(AA147="","",IF(COUNTIF(Tavoli!$E$2:$AB$41,AA147)=0,"Da assegnare",IF(COUNTIF(Tavoli!$E$2:$AB$41,AA147)&gt;1,"DUPLICATO","Tavolo "&amp;SUMPRODUCT((Tavoli!$E$2:$AB$41=AA147)*Tavoli!$A$2:$A$41))))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6" t="n"/>
      <c r="Z148" s="6" t="n"/>
      <c r="AA148" s="8">
        <f>IF(OR(A148&lt;&gt;"",B148&lt;&gt;""),TRIM(A148&amp;" "&amp;B148),"")</f>
        <v/>
      </c>
      <c r="AB148" s="8">
        <f>IF(AA148="","",IF(COUNTIF(Tavoli!$E$2:$AB$41,AA148)=0,"Da assegnare",IF(COUNTIF(Tavoli!$E$2:$AB$41,AA148)&gt;1,"DUPLICATO","Tavolo "&amp;SUMPRODUCT((Tavoli!$E$2:$AB$41=AA148)*Tavoli!$A$2:$A$41))))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6" t="n"/>
      <c r="Z149" s="6" t="n"/>
      <c r="AA149" s="8">
        <f>IF(OR(A149&lt;&gt;"",B149&lt;&gt;""),TRIM(A149&amp;" "&amp;B149),"")</f>
        <v/>
      </c>
      <c r="AB149" s="8">
        <f>IF(AA149="","",IF(COUNTIF(Tavoli!$E$2:$AB$41,AA149)=0,"Da assegnare",IF(COUNTIF(Tavoli!$E$2:$AB$41,AA149)&gt;1,"DUPLICATO","Tavolo "&amp;SUMPRODUCT((Tavoli!$E$2:$AB$41=AA149)*Tavoli!$A$2:$A$41))))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6" t="n"/>
      <c r="Z150" s="6" t="n"/>
      <c r="AA150" s="8">
        <f>IF(OR(A150&lt;&gt;"",B150&lt;&gt;""),TRIM(A150&amp;" "&amp;B150),"")</f>
        <v/>
      </c>
      <c r="AB150" s="8">
        <f>IF(AA150="","",IF(COUNTIF(Tavoli!$E$2:$AB$41,AA150)=0,"Da assegnare",IF(COUNTIF(Tavoli!$E$2:$AB$41,AA150)&gt;1,"DUPLICATO","Tavolo "&amp;SUMPRODUCT((Tavoli!$E$2:$AB$41=AA150)*Tavoli!$A$2:$A$41))))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6" t="n"/>
      <c r="Z151" s="6" t="n"/>
      <c r="AA151" s="8">
        <f>IF(OR(A151&lt;&gt;"",B151&lt;&gt;""),TRIM(A151&amp;" "&amp;B151),"")</f>
        <v/>
      </c>
      <c r="AB151" s="8">
        <f>IF(AA151="","",IF(COUNTIF(Tavoli!$E$2:$AB$41,AA151)=0,"Da assegnare",IF(COUNTIF(Tavoli!$E$2:$AB$41,AA151)&gt;1,"DUPLICATO","Tavolo "&amp;SUMPRODUCT((Tavoli!$E$2:$AB$41=AA151)*Tavoli!$A$2:$A$41))))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6" t="n"/>
      <c r="Z152" s="6" t="n"/>
      <c r="AA152" s="8">
        <f>IF(OR(A152&lt;&gt;"",B152&lt;&gt;""),TRIM(A152&amp;" "&amp;B152),"")</f>
        <v/>
      </c>
      <c r="AB152" s="8">
        <f>IF(AA152="","",IF(COUNTIF(Tavoli!$E$2:$AB$41,AA152)=0,"Da assegnare",IF(COUNTIF(Tavoli!$E$2:$AB$41,AA152)&gt;1,"DUPLICATO","Tavolo "&amp;SUMPRODUCT((Tavoli!$E$2:$AB$41=AA152)*Tavoli!$A$2:$A$41))))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6" t="n"/>
      <c r="Z153" s="6" t="n"/>
      <c r="AA153" s="8">
        <f>IF(OR(A153&lt;&gt;"",B153&lt;&gt;""),TRIM(A153&amp;" "&amp;B153),"")</f>
        <v/>
      </c>
      <c r="AB153" s="8">
        <f>IF(AA153="","",IF(COUNTIF(Tavoli!$E$2:$AB$41,AA153)=0,"Da assegnare",IF(COUNTIF(Tavoli!$E$2:$AB$41,AA153)&gt;1,"DUPLICATO","Tavolo "&amp;SUMPRODUCT((Tavoli!$E$2:$AB$41=AA153)*Tavoli!$A$2:$A$41))))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6" t="n"/>
      <c r="Z154" s="6" t="n"/>
      <c r="AA154" s="8">
        <f>IF(OR(A154&lt;&gt;"",B154&lt;&gt;""),TRIM(A154&amp;" "&amp;B154),"")</f>
        <v/>
      </c>
      <c r="AB154" s="8">
        <f>IF(AA154="","",IF(COUNTIF(Tavoli!$E$2:$AB$41,AA154)=0,"Da assegnare",IF(COUNTIF(Tavoli!$E$2:$AB$41,AA154)&gt;1,"DUPLICATO","Tavolo "&amp;SUMPRODUCT((Tavoli!$E$2:$AB$41=AA154)*Tavoli!$A$2:$A$41))))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6" t="n"/>
      <c r="Z155" s="6" t="n"/>
      <c r="AA155" s="8">
        <f>IF(OR(A155&lt;&gt;"",B155&lt;&gt;""),TRIM(A155&amp;" "&amp;B155),"")</f>
        <v/>
      </c>
      <c r="AB155" s="8">
        <f>IF(AA155="","",IF(COUNTIF(Tavoli!$E$2:$AB$41,AA155)=0,"Da assegnare",IF(COUNTIF(Tavoli!$E$2:$AB$41,AA155)&gt;1,"DUPLICATO","Tavolo "&amp;SUMPRODUCT((Tavoli!$E$2:$AB$41=AA155)*Tavoli!$A$2:$A$41))))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6" t="n"/>
      <c r="Z156" s="6" t="n"/>
      <c r="AA156" s="8">
        <f>IF(OR(A156&lt;&gt;"",B156&lt;&gt;""),TRIM(A156&amp;" "&amp;B156),"")</f>
        <v/>
      </c>
      <c r="AB156" s="8">
        <f>IF(AA156="","",IF(COUNTIF(Tavoli!$E$2:$AB$41,AA156)=0,"Da assegnare",IF(COUNTIF(Tavoli!$E$2:$AB$41,AA156)&gt;1,"DUPLICATO","Tavolo "&amp;SUMPRODUCT((Tavoli!$E$2:$AB$41=AA156)*Tavoli!$A$2:$A$41))))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6" t="n"/>
      <c r="Z157" s="6" t="n"/>
      <c r="AA157" s="8">
        <f>IF(OR(A157&lt;&gt;"",B157&lt;&gt;""),TRIM(A157&amp;" "&amp;B157),"")</f>
        <v/>
      </c>
      <c r="AB157" s="8">
        <f>IF(AA157="","",IF(COUNTIF(Tavoli!$E$2:$AB$41,AA157)=0,"Da assegnare",IF(COUNTIF(Tavoli!$E$2:$AB$41,AA157)&gt;1,"DUPLICATO","Tavolo "&amp;SUMPRODUCT((Tavoli!$E$2:$AB$41=AA157)*Tavoli!$A$2:$A$41))))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6" t="n"/>
      <c r="Z158" s="6" t="n"/>
      <c r="AA158" s="8">
        <f>IF(OR(A158&lt;&gt;"",B158&lt;&gt;""),TRIM(A158&amp;" "&amp;B158),"")</f>
        <v/>
      </c>
      <c r="AB158" s="8">
        <f>IF(AA158="","",IF(COUNTIF(Tavoli!$E$2:$AB$41,AA158)=0,"Da assegnare",IF(COUNTIF(Tavoli!$E$2:$AB$41,AA158)&gt;1,"DUPLICATO","Tavolo "&amp;SUMPRODUCT((Tavoli!$E$2:$AB$41=AA158)*Tavoli!$A$2:$A$41))))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6" t="n"/>
      <c r="Z159" s="6" t="n"/>
      <c r="AA159" s="8">
        <f>IF(OR(A159&lt;&gt;"",B159&lt;&gt;""),TRIM(A159&amp;" "&amp;B159),"")</f>
        <v/>
      </c>
      <c r="AB159" s="8">
        <f>IF(AA159="","",IF(COUNTIF(Tavoli!$E$2:$AB$41,AA159)=0,"Da assegnare",IF(COUNTIF(Tavoli!$E$2:$AB$41,AA159)&gt;1,"DUPLICATO","Tavolo "&amp;SUMPRODUCT((Tavoli!$E$2:$AB$41=AA159)*Tavoli!$A$2:$A$41))))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6" t="n"/>
      <c r="Z160" s="6" t="n"/>
      <c r="AA160" s="8">
        <f>IF(OR(A160&lt;&gt;"",B160&lt;&gt;""),TRIM(A160&amp;" "&amp;B160),"")</f>
        <v/>
      </c>
      <c r="AB160" s="8">
        <f>IF(AA160="","",IF(COUNTIF(Tavoli!$E$2:$AB$41,AA160)=0,"Da assegnare",IF(COUNTIF(Tavoli!$E$2:$AB$41,AA160)&gt;1,"DUPLICATO","Tavolo "&amp;SUMPRODUCT((Tavoli!$E$2:$AB$41=AA160)*Tavoli!$A$2:$A$41))))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6" t="n"/>
      <c r="Z161" s="6" t="n"/>
      <c r="AA161" s="8">
        <f>IF(OR(A161&lt;&gt;"",B161&lt;&gt;""),TRIM(A161&amp;" "&amp;B161),"")</f>
        <v/>
      </c>
      <c r="AB161" s="8">
        <f>IF(AA161="","",IF(COUNTIF(Tavoli!$E$2:$AB$41,AA161)=0,"Da assegnare",IF(COUNTIF(Tavoli!$E$2:$AB$41,AA161)&gt;1,"DUPLICATO","Tavolo "&amp;SUMPRODUCT((Tavoli!$E$2:$AB$41=AA161)*Tavoli!$A$2:$A$41))))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6" t="n"/>
      <c r="Z162" s="6" t="n"/>
      <c r="AA162" s="8">
        <f>IF(OR(A162&lt;&gt;"",B162&lt;&gt;""),TRIM(A162&amp;" "&amp;B162),"")</f>
        <v/>
      </c>
      <c r="AB162" s="8">
        <f>IF(AA162="","",IF(COUNTIF(Tavoli!$E$2:$AB$41,AA162)=0,"Da assegnare",IF(COUNTIF(Tavoli!$E$2:$AB$41,AA162)&gt;1,"DUPLICATO","Tavolo "&amp;SUMPRODUCT((Tavoli!$E$2:$AB$41=AA162)*Tavoli!$A$2:$A$41))))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6" t="n"/>
      <c r="Z163" s="6" t="n"/>
      <c r="AA163" s="8">
        <f>IF(OR(A163&lt;&gt;"",B163&lt;&gt;""),TRIM(A163&amp;" "&amp;B163),"")</f>
        <v/>
      </c>
      <c r="AB163" s="8">
        <f>IF(AA163="","",IF(COUNTIF(Tavoli!$E$2:$AB$41,AA163)=0,"Da assegnare",IF(COUNTIF(Tavoli!$E$2:$AB$41,AA163)&gt;1,"DUPLICATO","Tavolo "&amp;SUMPRODUCT((Tavoli!$E$2:$AB$41=AA163)*Tavoli!$A$2:$A$41))))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6" t="n"/>
      <c r="Z164" s="6" t="n"/>
      <c r="AA164" s="8">
        <f>IF(OR(A164&lt;&gt;"",B164&lt;&gt;""),TRIM(A164&amp;" "&amp;B164),"")</f>
        <v/>
      </c>
      <c r="AB164" s="8">
        <f>IF(AA164="","",IF(COUNTIF(Tavoli!$E$2:$AB$41,AA164)=0,"Da assegnare",IF(COUNTIF(Tavoli!$E$2:$AB$41,AA164)&gt;1,"DUPLICATO","Tavolo "&amp;SUMPRODUCT((Tavoli!$E$2:$AB$41=AA164)*Tavoli!$A$2:$A$41))))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6" t="n"/>
      <c r="Z165" s="6" t="n"/>
      <c r="AA165" s="8">
        <f>IF(OR(A165&lt;&gt;"",B165&lt;&gt;""),TRIM(A165&amp;" "&amp;B165),"")</f>
        <v/>
      </c>
      <c r="AB165" s="8">
        <f>IF(AA165="","",IF(COUNTIF(Tavoli!$E$2:$AB$41,AA165)=0,"Da assegnare",IF(COUNTIF(Tavoli!$E$2:$AB$41,AA165)&gt;1,"DUPLICATO","Tavolo "&amp;SUMPRODUCT((Tavoli!$E$2:$AB$41=AA165)*Tavoli!$A$2:$A$41))))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6" t="n"/>
      <c r="Z166" s="6" t="n"/>
      <c r="AA166" s="8">
        <f>IF(OR(A166&lt;&gt;"",B166&lt;&gt;""),TRIM(A166&amp;" "&amp;B166),"")</f>
        <v/>
      </c>
      <c r="AB166" s="8">
        <f>IF(AA166="","",IF(COUNTIF(Tavoli!$E$2:$AB$41,AA166)=0,"Da assegnare",IF(COUNTIF(Tavoli!$E$2:$AB$41,AA166)&gt;1,"DUPLICATO","Tavolo "&amp;SUMPRODUCT((Tavoli!$E$2:$AB$41=AA166)*Tavoli!$A$2:$A$41))))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6" t="n"/>
      <c r="Z167" s="6" t="n"/>
      <c r="AA167" s="8">
        <f>IF(OR(A167&lt;&gt;"",B167&lt;&gt;""),TRIM(A167&amp;" "&amp;B167),"")</f>
        <v/>
      </c>
      <c r="AB167" s="8">
        <f>IF(AA167="","",IF(COUNTIF(Tavoli!$E$2:$AB$41,AA167)=0,"Da assegnare",IF(COUNTIF(Tavoli!$E$2:$AB$41,AA167)&gt;1,"DUPLICATO","Tavolo "&amp;SUMPRODUCT((Tavoli!$E$2:$AB$41=AA167)*Tavoli!$A$2:$A$41))))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6" t="n"/>
      <c r="Z168" s="6" t="n"/>
      <c r="AA168" s="8">
        <f>IF(OR(A168&lt;&gt;"",B168&lt;&gt;""),TRIM(A168&amp;" "&amp;B168),"")</f>
        <v/>
      </c>
      <c r="AB168" s="8">
        <f>IF(AA168="","",IF(COUNTIF(Tavoli!$E$2:$AB$41,AA168)=0,"Da assegnare",IF(COUNTIF(Tavoli!$E$2:$AB$41,AA168)&gt;1,"DUPLICATO","Tavolo "&amp;SUMPRODUCT((Tavoli!$E$2:$AB$41=AA168)*Tavoli!$A$2:$A$41))))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6" t="n"/>
      <c r="Z169" s="6" t="n"/>
      <c r="AA169" s="8">
        <f>IF(OR(A169&lt;&gt;"",B169&lt;&gt;""),TRIM(A169&amp;" "&amp;B169),"")</f>
        <v/>
      </c>
      <c r="AB169" s="8">
        <f>IF(AA169="","",IF(COUNTIF(Tavoli!$E$2:$AB$41,AA169)=0,"Da assegnare",IF(COUNTIF(Tavoli!$E$2:$AB$41,AA169)&gt;1,"DUPLICATO","Tavolo "&amp;SUMPRODUCT((Tavoli!$E$2:$AB$41=AA169)*Tavoli!$A$2:$A$41))))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6" t="n"/>
      <c r="Z170" s="6" t="n"/>
      <c r="AA170" s="8">
        <f>IF(OR(A170&lt;&gt;"",B170&lt;&gt;""),TRIM(A170&amp;" "&amp;B170),"")</f>
        <v/>
      </c>
      <c r="AB170" s="8">
        <f>IF(AA170="","",IF(COUNTIF(Tavoli!$E$2:$AB$41,AA170)=0,"Da assegnare",IF(COUNTIF(Tavoli!$E$2:$AB$41,AA170)&gt;1,"DUPLICATO","Tavolo "&amp;SUMPRODUCT((Tavoli!$E$2:$AB$41=AA170)*Tavoli!$A$2:$A$41))))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6" t="n"/>
      <c r="Z171" s="6" t="n"/>
      <c r="AA171" s="8">
        <f>IF(OR(A171&lt;&gt;"",B171&lt;&gt;""),TRIM(A171&amp;" "&amp;B171),"")</f>
        <v/>
      </c>
      <c r="AB171" s="8">
        <f>IF(AA171="","",IF(COUNTIF(Tavoli!$E$2:$AB$41,AA171)=0,"Da assegnare",IF(COUNTIF(Tavoli!$E$2:$AB$41,AA171)&gt;1,"DUPLICATO","Tavolo "&amp;SUMPRODUCT((Tavoli!$E$2:$AB$41=AA171)*Tavoli!$A$2:$A$41))))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6" t="n"/>
      <c r="Z172" s="6" t="n"/>
      <c r="AA172" s="8">
        <f>IF(OR(A172&lt;&gt;"",B172&lt;&gt;""),TRIM(A172&amp;" "&amp;B172),"")</f>
        <v/>
      </c>
      <c r="AB172" s="8">
        <f>IF(AA172="","",IF(COUNTIF(Tavoli!$E$2:$AB$41,AA172)=0,"Da assegnare",IF(COUNTIF(Tavoli!$E$2:$AB$41,AA172)&gt;1,"DUPLICATO","Tavolo "&amp;SUMPRODUCT((Tavoli!$E$2:$AB$41=AA172)*Tavoli!$A$2:$A$41))))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6" t="n"/>
      <c r="Z173" s="6" t="n"/>
      <c r="AA173" s="8">
        <f>IF(OR(A173&lt;&gt;"",B173&lt;&gt;""),TRIM(A173&amp;" "&amp;B173),"")</f>
        <v/>
      </c>
      <c r="AB173" s="8">
        <f>IF(AA173="","",IF(COUNTIF(Tavoli!$E$2:$AB$41,AA173)=0,"Da assegnare",IF(COUNTIF(Tavoli!$E$2:$AB$41,AA173)&gt;1,"DUPLICATO","Tavolo "&amp;SUMPRODUCT((Tavoli!$E$2:$AB$41=AA173)*Tavoli!$A$2:$A$41))))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6" t="n"/>
      <c r="Z174" s="6" t="n"/>
      <c r="AA174" s="8">
        <f>IF(OR(A174&lt;&gt;"",B174&lt;&gt;""),TRIM(A174&amp;" "&amp;B174),"")</f>
        <v/>
      </c>
      <c r="AB174" s="8">
        <f>IF(AA174="","",IF(COUNTIF(Tavoli!$E$2:$AB$41,AA174)=0,"Da assegnare",IF(COUNTIF(Tavoli!$E$2:$AB$41,AA174)&gt;1,"DUPLICATO","Tavolo "&amp;SUMPRODUCT((Tavoli!$E$2:$AB$41=AA174)*Tavoli!$A$2:$A$41))))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6" t="n"/>
      <c r="Z175" s="6" t="n"/>
      <c r="AA175" s="8">
        <f>IF(OR(A175&lt;&gt;"",B175&lt;&gt;""),TRIM(A175&amp;" "&amp;B175),"")</f>
        <v/>
      </c>
      <c r="AB175" s="8">
        <f>IF(AA175="","",IF(COUNTIF(Tavoli!$E$2:$AB$41,AA175)=0,"Da assegnare",IF(COUNTIF(Tavoli!$E$2:$AB$41,AA175)&gt;1,"DUPLICATO","Tavolo "&amp;SUMPRODUCT((Tavoli!$E$2:$AB$41=AA175)*Tavoli!$A$2:$A$41))))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6" t="n"/>
      <c r="Z176" s="6" t="n"/>
      <c r="AA176" s="8">
        <f>IF(OR(A176&lt;&gt;"",B176&lt;&gt;""),TRIM(A176&amp;" "&amp;B176),"")</f>
        <v/>
      </c>
      <c r="AB176" s="8">
        <f>IF(AA176="","",IF(COUNTIF(Tavoli!$E$2:$AB$41,AA176)=0,"Da assegnare",IF(COUNTIF(Tavoli!$E$2:$AB$41,AA176)&gt;1,"DUPLICATO","Tavolo "&amp;SUMPRODUCT((Tavoli!$E$2:$AB$41=AA176)*Tavoli!$A$2:$A$41))))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6" t="n"/>
      <c r="Z177" s="6" t="n"/>
      <c r="AA177" s="8">
        <f>IF(OR(A177&lt;&gt;"",B177&lt;&gt;""),TRIM(A177&amp;" "&amp;B177),"")</f>
        <v/>
      </c>
      <c r="AB177" s="8">
        <f>IF(AA177="","",IF(COUNTIF(Tavoli!$E$2:$AB$41,AA177)=0,"Da assegnare",IF(COUNTIF(Tavoli!$E$2:$AB$41,AA177)&gt;1,"DUPLICATO","Tavolo "&amp;SUMPRODUCT((Tavoli!$E$2:$AB$41=AA177)*Tavoli!$A$2:$A$41))))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6" t="n"/>
      <c r="Z178" s="6" t="n"/>
      <c r="AA178" s="8">
        <f>IF(OR(A178&lt;&gt;"",B178&lt;&gt;""),TRIM(A178&amp;" "&amp;B178),"")</f>
        <v/>
      </c>
      <c r="AB178" s="8">
        <f>IF(AA178="","",IF(COUNTIF(Tavoli!$E$2:$AB$41,AA178)=0,"Da assegnare",IF(COUNTIF(Tavoli!$E$2:$AB$41,AA178)&gt;1,"DUPLICATO","Tavolo "&amp;SUMPRODUCT((Tavoli!$E$2:$AB$41=AA178)*Tavoli!$A$2:$A$41))))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6" t="n"/>
      <c r="Z179" s="6" t="n"/>
      <c r="AA179" s="8">
        <f>IF(OR(A179&lt;&gt;"",B179&lt;&gt;""),TRIM(A179&amp;" "&amp;B179),"")</f>
        <v/>
      </c>
      <c r="AB179" s="8">
        <f>IF(AA179="","",IF(COUNTIF(Tavoli!$E$2:$AB$41,AA179)=0,"Da assegnare",IF(COUNTIF(Tavoli!$E$2:$AB$41,AA179)&gt;1,"DUPLICATO","Tavolo "&amp;SUMPRODUCT((Tavoli!$E$2:$AB$41=AA179)*Tavoli!$A$2:$A$41))))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6" t="n"/>
      <c r="Z180" s="6" t="n"/>
      <c r="AA180" s="8">
        <f>IF(OR(A180&lt;&gt;"",B180&lt;&gt;""),TRIM(A180&amp;" "&amp;B180),"")</f>
        <v/>
      </c>
      <c r="AB180" s="8">
        <f>IF(AA180="","",IF(COUNTIF(Tavoli!$E$2:$AB$41,AA180)=0,"Da assegnare",IF(COUNTIF(Tavoli!$E$2:$AB$41,AA180)&gt;1,"DUPLICATO","Tavolo "&amp;SUMPRODUCT((Tavoli!$E$2:$AB$41=AA180)*Tavoli!$A$2:$A$41))))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6" t="n"/>
      <c r="Z181" s="6" t="n"/>
      <c r="AA181" s="8">
        <f>IF(OR(A181&lt;&gt;"",B181&lt;&gt;""),TRIM(A181&amp;" "&amp;B181),"")</f>
        <v/>
      </c>
      <c r="AB181" s="8">
        <f>IF(AA181="","",IF(COUNTIF(Tavoli!$E$2:$AB$41,AA181)=0,"Da assegnare",IF(COUNTIF(Tavoli!$E$2:$AB$41,AA181)&gt;1,"DUPLICATO","Tavolo "&amp;SUMPRODUCT((Tavoli!$E$2:$AB$41=AA181)*Tavoli!$A$2:$A$41))))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6" t="n"/>
      <c r="Z182" s="6" t="n"/>
      <c r="AA182" s="8">
        <f>IF(OR(A182&lt;&gt;"",B182&lt;&gt;""),TRIM(A182&amp;" "&amp;B182),"")</f>
        <v/>
      </c>
      <c r="AB182" s="8">
        <f>IF(AA182="","",IF(COUNTIF(Tavoli!$E$2:$AB$41,AA182)=0,"Da assegnare",IF(COUNTIF(Tavoli!$E$2:$AB$41,AA182)&gt;1,"DUPLICATO","Tavolo "&amp;SUMPRODUCT((Tavoli!$E$2:$AB$41=AA182)*Tavoli!$A$2:$A$41))))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6" t="n"/>
      <c r="Z183" s="6" t="n"/>
      <c r="AA183" s="8">
        <f>IF(OR(A183&lt;&gt;"",B183&lt;&gt;""),TRIM(A183&amp;" "&amp;B183),"")</f>
        <v/>
      </c>
      <c r="AB183" s="8">
        <f>IF(AA183="","",IF(COUNTIF(Tavoli!$E$2:$AB$41,AA183)=0,"Da assegnare",IF(COUNTIF(Tavoli!$E$2:$AB$41,AA183)&gt;1,"DUPLICATO","Tavolo "&amp;SUMPRODUCT((Tavoli!$E$2:$AB$41=AA183)*Tavoli!$A$2:$A$41))))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6" t="n"/>
      <c r="Z184" s="6" t="n"/>
      <c r="AA184" s="8">
        <f>IF(OR(A184&lt;&gt;"",B184&lt;&gt;""),TRIM(A184&amp;" "&amp;B184),"")</f>
        <v/>
      </c>
      <c r="AB184" s="8">
        <f>IF(AA184="","",IF(COUNTIF(Tavoli!$E$2:$AB$41,AA184)=0,"Da assegnare",IF(COUNTIF(Tavoli!$E$2:$AB$41,AA184)&gt;1,"DUPLICATO","Tavolo "&amp;SUMPRODUCT((Tavoli!$E$2:$AB$41=AA184)*Tavoli!$A$2:$A$41))))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6" t="n"/>
      <c r="Z185" s="6" t="n"/>
      <c r="AA185" s="8">
        <f>IF(OR(A185&lt;&gt;"",B185&lt;&gt;""),TRIM(A185&amp;" "&amp;B185),"")</f>
        <v/>
      </c>
      <c r="AB185" s="8">
        <f>IF(AA185="","",IF(COUNTIF(Tavoli!$E$2:$AB$41,AA185)=0,"Da assegnare",IF(COUNTIF(Tavoli!$E$2:$AB$41,AA185)&gt;1,"DUPLICATO","Tavolo "&amp;SUMPRODUCT((Tavoli!$E$2:$AB$41=AA185)*Tavoli!$A$2:$A$41))))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6" t="n"/>
      <c r="Z186" s="6" t="n"/>
      <c r="AA186" s="8">
        <f>IF(OR(A186&lt;&gt;"",B186&lt;&gt;""),TRIM(A186&amp;" "&amp;B186),"")</f>
        <v/>
      </c>
      <c r="AB186" s="8">
        <f>IF(AA186="","",IF(COUNTIF(Tavoli!$E$2:$AB$41,AA186)=0,"Da assegnare",IF(COUNTIF(Tavoli!$E$2:$AB$41,AA186)&gt;1,"DUPLICATO","Tavolo "&amp;SUMPRODUCT((Tavoli!$E$2:$AB$41=AA186)*Tavoli!$A$2:$A$41))))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6" t="n"/>
      <c r="Z187" s="6" t="n"/>
      <c r="AA187" s="8">
        <f>IF(OR(A187&lt;&gt;"",B187&lt;&gt;""),TRIM(A187&amp;" "&amp;B187),"")</f>
        <v/>
      </c>
      <c r="AB187" s="8">
        <f>IF(AA187="","",IF(COUNTIF(Tavoli!$E$2:$AB$41,AA187)=0,"Da assegnare",IF(COUNTIF(Tavoli!$E$2:$AB$41,AA187)&gt;1,"DUPLICATO","Tavolo "&amp;SUMPRODUCT((Tavoli!$E$2:$AB$41=AA187)*Tavoli!$A$2:$A$41))))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6" t="n"/>
      <c r="Z188" s="6" t="n"/>
      <c r="AA188" s="8">
        <f>IF(OR(A188&lt;&gt;"",B188&lt;&gt;""),TRIM(A188&amp;" "&amp;B188),"")</f>
        <v/>
      </c>
      <c r="AB188" s="8">
        <f>IF(AA188="","",IF(COUNTIF(Tavoli!$E$2:$AB$41,AA188)=0,"Da assegnare",IF(COUNTIF(Tavoli!$E$2:$AB$41,AA188)&gt;1,"DUPLICATO","Tavolo "&amp;SUMPRODUCT((Tavoli!$E$2:$AB$41=AA188)*Tavoli!$A$2:$A$41))))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6" t="n"/>
      <c r="Z189" s="6" t="n"/>
      <c r="AA189" s="8">
        <f>IF(OR(A189&lt;&gt;"",B189&lt;&gt;""),TRIM(A189&amp;" "&amp;B189),"")</f>
        <v/>
      </c>
      <c r="AB189" s="8">
        <f>IF(AA189="","",IF(COUNTIF(Tavoli!$E$2:$AB$41,AA189)=0,"Da assegnare",IF(COUNTIF(Tavoli!$E$2:$AB$41,AA189)&gt;1,"DUPLICATO","Tavolo "&amp;SUMPRODUCT((Tavoli!$E$2:$AB$41=AA189)*Tavoli!$A$2:$A$41))))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6" t="n"/>
      <c r="Z190" s="6" t="n"/>
      <c r="AA190" s="8">
        <f>IF(OR(A190&lt;&gt;"",B190&lt;&gt;""),TRIM(A190&amp;" "&amp;B190),"")</f>
        <v/>
      </c>
      <c r="AB190" s="8">
        <f>IF(AA190="","",IF(COUNTIF(Tavoli!$E$2:$AB$41,AA190)=0,"Da assegnare",IF(COUNTIF(Tavoli!$E$2:$AB$41,AA190)&gt;1,"DUPLICATO","Tavolo "&amp;SUMPRODUCT((Tavoli!$E$2:$AB$41=AA190)*Tavoli!$A$2:$A$41))))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6" t="n"/>
      <c r="Z191" s="6" t="n"/>
      <c r="AA191" s="8">
        <f>IF(OR(A191&lt;&gt;"",B191&lt;&gt;""),TRIM(A191&amp;" "&amp;B191),"")</f>
        <v/>
      </c>
      <c r="AB191" s="8">
        <f>IF(AA191="","",IF(COUNTIF(Tavoli!$E$2:$AB$41,AA191)=0,"Da assegnare",IF(COUNTIF(Tavoli!$E$2:$AB$41,AA191)&gt;1,"DUPLICATO","Tavolo "&amp;SUMPRODUCT((Tavoli!$E$2:$AB$41=AA191)*Tavoli!$A$2:$A$41))))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6" t="n"/>
      <c r="Z192" s="6" t="n"/>
      <c r="AA192" s="8">
        <f>IF(OR(A192&lt;&gt;"",B192&lt;&gt;""),TRIM(A192&amp;" "&amp;B192),"")</f>
        <v/>
      </c>
      <c r="AB192" s="8">
        <f>IF(AA192="","",IF(COUNTIF(Tavoli!$E$2:$AB$41,AA192)=0,"Da assegnare",IF(COUNTIF(Tavoli!$E$2:$AB$41,AA192)&gt;1,"DUPLICATO","Tavolo "&amp;SUMPRODUCT((Tavoli!$E$2:$AB$41=AA192)*Tavoli!$A$2:$A$41))))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6" t="n"/>
      <c r="Z193" s="6" t="n"/>
      <c r="AA193" s="8">
        <f>IF(OR(A193&lt;&gt;"",B193&lt;&gt;""),TRIM(A193&amp;" "&amp;B193),"")</f>
        <v/>
      </c>
      <c r="AB193" s="8">
        <f>IF(AA193="","",IF(COUNTIF(Tavoli!$E$2:$AB$41,AA193)=0,"Da assegnare",IF(COUNTIF(Tavoli!$E$2:$AB$41,AA193)&gt;1,"DUPLICATO","Tavolo "&amp;SUMPRODUCT((Tavoli!$E$2:$AB$41=AA193)*Tavoli!$A$2:$A$41))))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6" t="n"/>
      <c r="Z194" s="6" t="n"/>
      <c r="AA194" s="8">
        <f>IF(OR(A194&lt;&gt;"",B194&lt;&gt;""),TRIM(A194&amp;" "&amp;B194),"")</f>
        <v/>
      </c>
      <c r="AB194" s="8">
        <f>IF(AA194="","",IF(COUNTIF(Tavoli!$E$2:$AB$41,AA194)=0,"Da assegnare",IF(COUNTIF(Tavoli!$E$2:$AB$41,AA194)&gt;1,"DUPLICATO","Tavolo "&amp;SUMPRODUCT((Tavoli!$E$2:$AB$41=AA194)*Tavoli!$A$2:$A$41))))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6" t="n"/>
      <c r="Z195" s="6" t="n"/>
      <c r="AA195" s="8">
        <f>IF(OR(A195&lt;&gt;"",B195&lt;&gt;""),TRIM(A195&amp;" "&amp;B195),"")</f>
        <v/>
      </c>
      <c r="AB195" s="8">
        <f>IF(AA195="","",IF(COUNTIF(Tavoli!$E$2:$AB$41,AA195)=0,"Da assegnare",IF(COUNTIF(Tavoli!$E$2:$AB$41,AA195)&gt;1,"DUPLICATO","Tavolo "&amp;SUMPRODUCT((Tavoli!$E$2:$AB$41=AA195)*Tavoli!$A$2:$A$41))))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6" t="n"/>
      <c r="Z196" s="6" t="n"/>
      <c r="AA196" s="8">
        <f>IF(OR(A196&lt;&gt;"",B196&lt;&gt;""),TRIM(A196&amp;" "&amp;B196),"")</f>
        <v/>
      </c>
      <c r="AB196" s="8">
        <f>IF(AA196="","",IF(COUNTIF(Tavoli!$E$2:$AB$41,AA196)=0,"Da assegnare",IF(COUNTIF(Tavoli!$E$2:$AB$41,AA196)&gt;1,"DUPLICATO","Tavolo "&amp;SUMPRODUCT((Tavoli!$E$2:$AB$41=AA196)*Tavoli!$A$2:$A$41))))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6" t="n"/>
      <c r="Z197" s="6" t="n"/>
      <c r="AA197" s="8">
        <f>IF(OR(A197&lt;&gt;"",B197&lt;&gt;""),TRIM(A197&amp;" "&amp;B197),"")</f>
        <v/>
      </c>
      <c r="AB197" s="8">
        <f>IF(AA197="","",IF(COUNTIF(Tavoli!$E$2:$AB$41,AA197)=0,"Da assegnare",IF(COUNTIF(Tavoli!$E$2:$AB$41,AA197)&gt;1,"DUPLICATO","Tavolo "&amp;SUMPRODUCT((Tavoli!$E$2:$AB$41=AA197)*Tavoli!$A$2:$A$41))))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6" t="n"/>
      <c r="Z198" s="6" t="n"/>
      <c r="AA198" s="8">
        <f>IF(OR(A198&lt;&gt;"",B198&lt;&gt;""),TRIM(A198&amp;" "&amp;B198),"")</f>
        <v/>
      </c>
      <c r="AB198" s="8">
        <f>IF(AA198="","",IF(COUNTIF(Tavoli!$E$2:$AB$41,AA198)=0,"Da assegnare",IF(COUNTIF(Tavoli!$E$2:$AB$41,AA198)&gt;1,"DUPLICATO","Tavolo "&amp;SUMPRODUCT((Tavoli!$E$2:$AB$41=AA198)*Tavoli!$A$2:$A$41))))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6" t="n"/>
      <c r="Z199" s="6" t="n"/>
      <c r="AA199" s="8">
        <f>IF(OR(A199&lt;&gt;"",B199&lt;&gt;""),TRIM(A199&amp;" "&amp;B199),"")</f>
        <v/>
      </c>
      <c r="AB199" s="8">
        <f>IF(AA199="","",IF(COUNTIF(Tavoli!$E$2:$AB$41,AA199)=0,"Da assegnare",IF(COUNTIF(Tavoli!$E$2:$AB$41,AA199)&gt;1,"DUPLICATO","Tavolo "&amp;SUMPRODUCT((Tavoli!$E$2:$AB$41=AA199)*Tavoli!$A$2:$A$41))))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6" t="n"/>
      <c r="Z200" s="6" t="n"/>
      <c r="AA200" s="8">
        <f>IF(OR(A200&lt;&gt;"",B200&lt;&gt;""),TRIM(A200&amp;" "&amp;B200),"")</f>
        <v/>
      </c>
      <c r="AB200" s="8">
        <f>IF(AA200="","",IF(COUNTIF(Tavoli!$E$2:$AB$41,AA200)=0,"Da assegnare",IF(COUNTIF(Tavoli!$E$2:$AB$41,AA200)&gt;1,"DUPLICATO","Tavolo "&amp;SUMPRODUCT((Tavoli!$E$2:$AB$41=AA200)*Tavoli!$A$2:$A$41))))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6" t="n"/>
      <c r="Z201" s="6" t="n"/>
      <c r="AA201" s="8">
        <f>IF(OR(A201&lt;&gt;"",B201&lt;&gt;""),TRIM(A201&amp;" "&amp;B201),"")</f>
        <v/>
      </c>
      <c r="AB201" s="8">
        <f>IF(AA201="","",IF(COUNTIF(Tavoli!$E$2:$AB$41,AA201)=0,"Da assegnare",IF(COUNTIF(Tavoli!$E$2:$AB$41,AA201)&gt;1,"DUPLICATO","Tavolo "&amp;SUMPRODUCT((Tavoli!$E$2:$AB$41=AA201)*Tavoli!$A$2:$A$41))))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6" t="n"/>
      <c r="Z202" s="6" t="n"/>
      <c r="AA202" s="8">
        <f>IF(OR(A202&lt;&gt;"",B202&lt;&gt;""),TRIM(A202&amp;" "&amp;B202),"")</f>
        <v/>
      </c>
      <c r="AB202" s="8">
        <f>IF(AA202="","",IF(COUNTIF(Tavoli!$E$2:$AB$41,AA202)=0,"Da assegnare",IF(COUNTIF(Tavoli!$E$2:$AB$41,AA202)&gt;1,"DUPLICATO","Tavolo "&amp;SUMPRODUCT((Tavoli!$E$2:$AB$41=AA202)*Tavoli!$A$2:$A$41))))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6" t="n"/>
      <c r="Z203" s="6" t="n"/>
      <c r="AA203" s="8">
        <f>IF(OR(A203&lt;&gt;"",B203&lt;&gt;""),TRIM(A203&amp;" "&amp;B203),"")</f>
        <v/>
      </c>
      <c r="AB203" s="8">
        <f>IF(AA203="","",IF(COUNTIF(Tavoli!$E$2:$AB$41,AA203)=0,"Da assegnare",IF(COUNTIF(Tavoli!$E$2:$AB$41,AA203)&gt;1,"DUPLICATO","Tavolo "&amp;SUMPRODUCT((Tavoli!$E$2:$AB$41=AA203)*Tavoli!$A$2:$A$41))))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6" t="n"/>
      <c r="Z204" s="6" t="n"/>
      <c r="AA204" s="8">
        <f>IF(OR(A204&lt;&gt;"",B204&lt;&gt;""),TRIM(A204&amp;" "&amp;B204),"")</f>
        <v/>
      </c>
      <c r="AB204" s="8">
        <f>IF(AA204="","",IF(COUNTIF(Tavoli!$E$2:$AB$41,AA204)=0,"Da assegnare",IF(COUNTIF(Tavoli!$E$2:$AB$41,AA204)&gt;1,"DUPLICATO","Tavolo "&amp;SUMPRODUCT((Tavoli!$E$2:$AB$41=AA204)*Tavoli!$A$2:$A$41))))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6" t="n"/>
      <c r="Z205" s="6" t="n"/>
      <c r="AA205" s="8">
        <f>IF(OR(A205&lt;&gt;"",B205&lt;&gt;""),TRIM(A205&amp;" "&amp;B205),"")</f>
        <v/>
      </c>
      <c r="AB205" s="8">
        <f>IF(AA205="","",IF(COUNTIF(Tavoli!$E$2:$AB$41,AA205)=0,"Da assegnare",IF(COUNTIF(Tavoli!$E$2:$AB$41,AA205)&gt;1,"DUPLICATO","Tavolo "&amp;SUMPRODUCT((Tavoli!$E$2:$AB$41=AA205)*Tavoli!$A$2:$A$41))))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6" t="n"/>
      <c r="Z206" s="6" t="n"/>
      <c r="AA206" s="8">
        <f>IF(OR(A206&lt;&gt;"",B206&lt;&gt;""),TRIM(A206&amp;" "&amp;B206),"")</f>
        <v/>
      </c>
      <c r="AB206" s="8">
        <f>IF(AA206="","",IF(COUNTIF(Tavoli!$E$2:$AB$41,AA206)=0,"Da assegnare",IF(COUNTIF(Tavoli!$E$2:$AB$41,AA206)&gt;1,"DUPLICATO","Tavolo "&amp;SUMPRODUCT((Tavoli!$E$2:$AB$41=AA206)*Tavoli!$A$2:$A$41))))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6" t="n"/>
      <c r="Z207" s="6" t="n"/>
      <c r="AA207" s="8">
        <f>IF(OR(A207&lt;&gt;"",B207&lt;&gt;""),TRIM(A207&amp;" "&amp;B207),"")</f>
        <v/>
      </c>
      <c r="AB207" s="8">
        <f>IF(AA207="","",IF(COUNTIF(Tavoli!$E$2:$AB$41,AA207)=0,"Da assegnare",IF(COUNTIF(Tavoli!$E$2:$AB$41,AA207)&gt;1,"DUPLICATO","Tavolo "&amp;SUMPRODUCT((Tavoli!$E$2:$AB$41=AA207)*Tavoli!$A$2:$A$41))))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6" t="n"/>
      <c r="Z208" s="6" t="n"/>
      <c r="AA208" s="8">
        <f>IF(OR(A208&lt;&gt;"",B208&lt;&gt;""),TRIM(A208&amp;" "&amp;B208),"")</f>
        <v/>
      </c>
      <c r="AB208" s="8">
        <f>IF(AA208="","",IF(COUNTIF(Tavoli!$E$2:$AB$41,AA208)=0,"Da assegnare",IF(COUNTIF(Tavoli!$E$2:$AB$41,AA208)&gt;1,"DUPLICATO","Tavolo "&amp;SUMPRODUCT((Tavoli!$E$2:$AB$41=AA208)*Tavoli!$A$2:$A$41))))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6" t="n"/>
      <c r="Z209" s="6" t="n"/>
      <c r="AA209" s="8">
        <f>IF(OR(A209&lt;&gt;"",B209&lt;&gt;""),TRIM(A209&amp;" "&amp;B209),"")</f>
        <v/>
      </c>
      <c r="AB209" s="8">
        <f>IF(AA209="","",IF(COUNTIF(Tavoli!$E$2:$AB$41,AA209)=0,"Da assegnare",IF(COUNTIF(Tavoli!$E$2:$AB$41,AA209)&gt;1,"DUPLICATO","Tavolo "&amp;SUMPRODUCT((Tavoli!$E$2:$AB$41=AA209)*Tavoli!$A$2:$A$41))))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6" t="n"/>
      <c r="Z210" s="6" t="n"/>
      <c r="AA210" s="8">
        <f>IF(OR(A210&lt;&gt;"",B210&lt;&gt;""),TRIM(A210&amp;" "&amp;B210),"")</f>
        <v/>
      </c>
      <c r="AB210" s="8">
        <f>IF(AA210="","",IF(COUNTIF(Tavoli!$E$2:$AB$41,AA210)=0,"Da assegnare",IF(COUNTIF(Tavoli!$E$2:$AB$41,AA210)&gt;1,"DUPLICATO","Tavolo "&amp;SUMPRODUCT((Tavoli!$E$2:$AB$41=AA210)*Tavoli!$A$2:$A$41))))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6" t="n"/>
      <c r="Z211" s="6" t="n"/>
      <c r="AA211" s="8">
        <f>IF(OR(A211&lt;&gt;"",B211&lt;&gt;""),TRIM(A211&amp;" "&amp;B211),"")</f>
        <v/>
      </c>
      <c r="AB211" s="8">
        <f>IF(AA211="","",IF(COUNTIF(Tavoli!$E$2:$AB$41,AA211)=0,"Da assegnare",IF(COUNTIF(Tavoli!$E$2:$AB$41,AA211)&gt;1,"DUPLICATO","Tavolo "&amp;SUMPRODUCT((Tavoli!$E$2:$AB$41=AA211)*Tavoli!$A$2:$A$41))))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6" t="n"/>
      <c r="Z212" s="6" t="n"/>
      <c r="AA212" s="8">
        <f>IF(OR(A212&lt;&gt;"",B212&lt;&gt;""),TRIM(A212&amp;" "&amp;B212),"")</f>
        <v/>
      </c>
      <c r="AB212" s="8">
        <f>IF(AA212="","",IF(COUNTIF(Tavoli!$E$2:$AB$41,AA212)=0,"Da assegnare",IF(COUNTIF(Tavoli!$E$2:$AB$41,AA212)&gt;1,"DUPLICATO","Tavolo "&amp;SUMPRODUCT((Tavoli!$E$2:$AB$41=AA212)*Tavoli!$A$2:$A$41))))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6" t="n"/>
      <c r="Z213" s="6" t="n"/>
      <c r="AA213" s="8">
        <f>IF(OR(A213&lt;&gt;"",B213&lt;&gt;""),TRIM(A213&amp;" "&amp;B213),"")</f>
        <v/>
      </c>
      <c r="AB213" s="8">
        <f>IF(AA213="","",IF(COUNTIF(Tavoli!$E$2:$AB$41,AA213)=0,"Da assegnare",IF(COUNTIF(Tavoli!$E$2:$AB$41,AA213)&gt;1,"DUPLICATO","Tavolo "&amp;SUMPRODUCT((Tavoli!$E$2:$AB$41=AA213)*Tavoli!$A$2:$A$41))))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6" t="n"/>
      <c r="Z214" s="6" t="n"/>
      <c r="AA214" s="8">
        <f>IF(OR(A214&lt;&gt;"",B214&lt;&gt;""),TRIM(A214&amp;" "&amp;B214),"")</f>
        <v/>
      </c>
      <c r="AB214" s="8">
        <f>IF(AA214="","",IF(COUNTIF(Tavoli!$E$2:$AB$41,AA214)=0,"Da assegnare",IF(COUNTIF(Tavoli!$E$2:$AB$41,AA214)&gt;1,"DUPLICATO","Tavolo "&amp;SUMPRODUCT((Tavoli!$E$2:$AB$41=AA214)*Tavoli!$A$2:$A$41))))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6" t="n"/>
      <c r="Z215" s="6" t="n"/>
      <c r="AA215" s="8">
        <f>IF(OR(A215&lt;&gt;"",B215&lt;&gt;""),TRIM(A215&amp;" "&amp;B215),"")</f>
        <v/>
      </c>
      <c r="AB215" s="8">
        <f>IF(AA215="","",IF(COUNTIF(Tavoli!$E$2:$AB$41,AA215)=0,"Da assegnare",IF(COUNTIF(Tavoli!$E$2:$AB$41,AA215)&gt;1,"DUPLICATO","Tavolo "&amp;SUMPRODUCT((Tavoli!$E$2:$AB$41=AA215)*Tavoli!$A$2:$A$41))))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6" t="n"/>
      <c r="Z216" s="6" t="n"/>
      <c r="AA216" s="8">
        <f>IF(OR(A216&lt;&gt;"",B216&lt;&gt;""),TRIM(A216&amp;" "&amp;B216),"")</f>
        <v/>
      </c>
      <c r="AB216" s="8">
        <f>IF(AA216="","",IF(COUNTIF(Tavoli!$E$2:$AB$41,AA216)=0,"Da assegnare",IF(COUNTIF(Tavoli!$E$2:$AB$41,AA216)&gt;1,"DUPLICATO","Tavolo "&amp;SUMPRODUCT((Tavoli!$E$2:$AB$41=AA216)*Tavoli!$A$2:$A$41))))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6" t="n"/>
      <c r="Z217" s="6" t="n"/>
      <c r="AA217" s="8">
        <f>IF(OR(A217&lt;&gt;"",B217&lt;&gt;""),TRIM(A217&amp;" "&amp;B217),"")</f>
        <v/>
      </c>
      <c r="AB217" s="8">
        <f>IF(AA217="","",IF(COUNTIF(Tavoli!$E$2:$AB$41,AA217)=0,"Da assegnare",IF(COUNTIF(Tavoli!$E$2:$AB$41,AA217)&gt;1,"DUPLICATO","Tavolo "&amp;SUMPRODUCT((Tavoli!$E$2:$AB$41=AA217)*Tavoli!$A$2:$A$41))))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6" t="n"/>
      <c r="Z218" s="6" t="n"/>
      <c r="AA218" s="8">
        <f>IF(OR(A218&lt;&gt;"",B218&lt;&gt;""),TRIM(A218&amp;" "&amp;B218),"")</f>
        <v/>
      </c>
      <c r="AB218" s="8">
        <f>IF(AA218="","",IF(COUNTIF(Tavoli!$E$2:$AB$41,AA218)=0,"Da assegnare",IF(COUNTIF(Tavoli!$E$2:$AB$41,AA218)&gt;1,"DUPLICATO","Tavolo "&amp;SUMPRODUCT((Tavoli!$E$2:$AB$41=AA218)*Tavoli!$A$2:$A$41))))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6" t="n"/>
      <c r="Z219" s="6" t="n"/>
      <c r="AA219" s="8">
        <f>IF(OR(A219&lt;&gt;"",B219&lt;&gt;""),TRIM(A219&amp;" "&amp;B219),"")</f>
        <v/>
      </c>
      <c r="AB219" s="8">
        <f>IF(AA219="","",IF(COUNTIF(Tavoli!$E$2:$AB$41,AA219)=0,"Da assegnare",IF(COUNTIF(Tavoli!$E$2:$AB$41,AA219)&gt;1,"DUPLICATO","Tavolo "&amp;SUMPRODUCT((Tavoli!$E$2:$AB$41=AA219)*Tavoli!$A$2:$A$41))))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6" t="n"/>
      <c r="Z220" s="6" t="n"/>
      <c r="AA220" s="8">
        <f>IF(OR(A220&lt;&gt;"",B220&lt;&gt;""),TRIM(A220&amp;" "&amp;B220),"")</f>
        <v/>
      </c>
      <c r="AB220" s="8">
        <f>IF(AA220="","",IF(COUNTIF(Tavoli!$E$2:$AB$41,AA220)=0,"Da assegnare",IF(COUNTIF(Tavoli!$E$2:$AB$41,AA220)&gt;1,"DUPLICATO","Tavolo "&amp;SUMPRODUCT((Tavoli!$E$2:$AB$41=AA220)*Tavoli!$A$2:$A$41))))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6" t="n"/>
      <c r="Z221" s="6" t="n"/>
      <c r="AA221" s="8">
        <f>IF(OR(A221&lt;&gt;"",B221&lt;&gt;""),TRIM(A221&amp;" "&amp;B221),"")</f>
        <v/>
      </c>
      <c r="AB221" s="8">
        <f>IF(AA221="","",IF(COUNTIF(Tavoli!$E$2:$AB$41,AA221)=0,"Da assegnare",IF(COUNTIF(Tavoli!$E$2:$AB$41,AA221)&gt;1,"DUPLICATO","Tavolo "&amp;SUMPRODUCT((Tavoli!$E$2:$AB$41=AA221)*Tavoli!$A$2:$A$41))))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6" t="n"/>
      <c r="Z222" s="6" t="n"/>
      <c r="AA222" s="8">
        <f>IF(OR(A222&lt;&gt;"",B222&lt;&gt;""),TRIM(A222&amp;" "&amp;B222),"")</f>
        <v/>
      </c>
      <c r="AB222" s="8">
        <f>IF(AA222="","",IF(COUNTIF(Tavoli!$E$2:$AB$41,AA222)=0,"Da assegnare",IF(COUNTIF(Tavoli!$E$2:$AB$41,AA222)&gt;1,"DUPLICATO","Tavolo "&amp;SUMPRODUCT((Tavoli!$E$2:$AB$41=AA222)*Tavoli!$A$2:$A$41))))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6" t="n"/>
      <c r="Z223" s="6" t="n"/>
      <c r="AA223" s="8">
        <f>IF(OR(A223&lt;&gt;"",B223&lt;&gt;""),TRIM(A223&amp;" "&amp;B223),"")</f>
        <v/>
      </c>
      <c r="AB223" s="8">
        <f>IF(AA223="","",IF(COUNTIF(Tavoli!$E$2:$AB$41,AA223)=0,"Da assegnare",IF(COUNTIF(Tavoli!$E$2:$AB$41,AA223)&gt;1,"DUPLICATO","Tavolo "&amp;SUMPRODUCT((Tavoli!$E$2:$AB$41=AA223)*Tavoli!$A$2:$A$41))))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6" t="n"/>
      <c r="Z224" s="6" t="n"/>
      <c r="AA224" s="8">
        <f>IF(OR(A224&lt;&gt;"",B224&lt;&gt;""),TRIM(A224&amp;" "&amp;B224),"")</f>
        <v/>
      </c>
      <c r="AB224" s="8">
        <f>IF(AA224="","",IF(COUNTIF(Tavoli!$E$2:$AB$41,AA224)=0,"Da assegnare",IF(COUNTIF(Tavoli!$E$2:$AB$41,AA224)&gt;1,"DUPLICATO","Tavolo "&amp;SUMPRODUCT((Tavoli!$E$2:$AB$41=AA224)*Tavoli!$A$2:$A$41))))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6" t="n"/>
      <c r="Z225" s="6" t="n"/>
      <c r="AA225" s="8">
        <f>IF(OR(A225&lt;&gt;"",B225&lt;&gt;""),TRIM(A225&amp;" "&amp;B225),"")</f>
        <v/>
      </c>
      <c r="AB225" s="8">
        <f>IF(AA225="","",IF(COUNTIF(Tavoli!$E$2:$AB$41,AA225)=0,"Da assegnare",IF(COUNTIF(Tavoli!$E$2:$AB$41,AA225)&gt;1,"DUPLICATO","Tavolo "&amp;SUMPRODUCT((Tavoli!$E$2:$AB$41=AA225)*Tavoli!$A$2:$A$41))))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6" t="n"/>
      <c r="Z226" s="6" t="n"/>
      <c r="AA226" s="8">
        <f>IF(OR(A226&lt;&gt;"",B226&lt;&gt;""),TRIM(A226&amp;" "&amp;B226),"")</f>
        <v/>
      </c>
      <c r="AB226" s="8">
        <f>IF(AA226="","",IF(COUNTIF(Tavoli!$E$2:$AB$41,AA226)=0,"Da assegnare",IF(COUNTIF(Tavoli!$E$2:$AB$41,AA226)&gt;1,"DUPLICATO","Tavolo "&amp;SUMPRODUCT((Tavoli!$E$2:$AB$41=AA226)*Tavoli!$A$2:$A$41))))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6" t="n"/>
      <c r="Z227" s="6" t="n"/>
      <c r="AA227" s="8">
        <f>IF(OR(A227&lt;&gt;"",B227&lt;&gt;""),TRIM(A227&amp;" "&amp;B227),"")</f>
        <v/>
      </c>
      <c r="AB227" s="8">
        <f>IF(AA227="","",IF(COUNTIF(Tavoli!$E$2:$AB$41,AA227)=0,"Da assegnare",IF(COUNTIF(Tavoli!$E$2:$AB$41,AA227)&gt;1,"DUPLICATO","Tavolo "&amp;SUMPRODUCT((Tavoli!$E$2:$AB$41=AA227)*Tavoli!$A$2:$A$41))))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6" t="n"/>
      <c r="Z228" s="6" t="n"/>
      <c r="AA228" s="8">
        <f>IF(OR(A228&lt;&gt;"",B228&lt;&gt;""),TRIM(A228&amp;" "&amp;B228),"")</f>
        <v/>
      </c>
      <c r="AB228" s="8">
        <f>IF(AA228="","",IF(COUNTIF(Tavoli!$E$2:$AB$41,AA228)=0,"Da assegnare",IF(COUNTIF(Tavoli!$E$2:$AB$41,AA228)&gt;1,"DUPLICATO","Tavolo "&amp;SUMPRODUCT((Tavoli!$E$2:$AB$41=AA228)*Tavoli!$A$2:$A$41))))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6" t="n"/>
      <c r="Z229" s="6" t="n"/>
      <c r="AA229" s="8">
        <f>IF(OR(A229&lt;&gt;"",B229&lt;&gt;""),TRIM(A229&amp;" "&amp;B229),"")</f>
        <v/>
      </c>
      <c r="AB229" s="8">
        <f>IF(AA229="","",IF(COUNTIF(Tavoli!$E$2:$AB$41,AA229)=0,"Da assegnare",IF(COUNTIF(Tavoli!$E$2:$AB$41,AA229)&gt;1,"DUPLICATO","Tavolo "&amp;SUMPRODUCT((Tavoli!$E$2:$AB$41=AA229)*Tavoli!$A$2:$A$41))))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6" t="n"/>
      <c r="Z230" s="6" t="n"/>
      <c r="AA230" s="8">
        <f>IF(OR(A230&lt;&gt;"",B230&lt;&gt;""),TRIM(A230&amp;" "&amp;B230),"")</f>
        <v/>
      </c>
      <c r="AB230" s="8">
        <f>IF(AA230="","",IF(COUNTIF(Tavoli!$E$2:$AB$41,AA230)=0,"Da assegnare",IF(COUNTIF(Tavoli!$E$2:$AB$41,AA230)&gt;1,"DUPLICATO","Tavolo "&amp;SUMPRODUCT((Tavoli!$E$2:$AB$41=AA230)*Tavoli!$A$2:$A$41))))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6" t="n"/>
      <c r="Z231" s="6" t="n"/>
      <c r="AA231" s="8">
        <f>IF(OR(A231&lt;&gt;"",B231&lt;&gt;""),TRIM(A231&amp;" "&amp;B231),"")</f>
        <v/>
      </c>
      <c r="AB231" s="8">
        <f>IF(AA231="","",IF(COUNTIF(Tavoli!$E$2:$AB$41,AA231)=0,"Da assegnare",IF(COUNTIF(Tavoli!$E$2:$AB$41,AA231)&gt;1,"DUPLICATO","Tavolo "&amp;SUMPRODUCT((Tavoli!$E$2:$AB$41=AA231)*Tavoli!$A$2:$A$41))))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6" t="n"/>
      <c r="Z232" s="6" t="n"/>
      <c r="AA232" s="8">
        <f>IF(OR(A232&lt;&gt;"",B232&lt;&gt;""),TRIM(A232&amp;" "&amp;B232),"")</f>
        <v/>
      </c>
      <c r="AB232" s="8">
        <f>IF(AA232="","",IF(COUNTIF(Tavoli!$E$2:$AB$41,AA232)=0,"Da assegnare",IF(COUNTIF(Tavoli!$E$2:$AB$41,AA232)&gt;1,"DUPLICATO","Tavolo "&amp;SUMPRODUCT((Tavoli!$E$2:$AB$41=AA232)*Tavoli!$A$2:$A$41))))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6" t="n"/>
      <c r="Z233" s="6" t="n"/>
      <c r="AA233" s="8">
        <f>IF(OR(A233&lt;&gt;"",B233&lt;&gt;""),TRIM(A233&amp;" "&amp;B233),"")</f>
        <v/>
      </c>
      <c r="AB233" s="8">
        <f>IF(AA233="","",IF(COUNTIF(Tavoli!$E$2:$AB$41,AA233)=0,"Da assegnare",IF(COUNTIF(Tavoli!$E$2:$AB$41,AA233)&gt;1,"DUPLICATO","Tavolo "&amp;SUMPRODUCT((Tavoli!$E$2:$AB$41=AA233)*Tavoli!$A$2:$A$41))))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6" t="n"/>
      <c r="Z234" s="6" t="n"/>
      <c r="AA234" s="8">
        <f>IF(OR(A234&lt;&gt;"",B234&lt;&gt;""),TRIM(A234&amp;" "&amp;B234),"")</f>
        <v/>
      </c>
      <c r="AB234" s="8">
        <f>IF(AA234="","",IF(COUNTIF(Tavoli!$E$2:$AB$41,AA234)=0,"Da assegnare",IF(COUNTIF(Tavoli!$E$2:$AB$41,AA234)&gt;1,"DUPLICATO","Tavolo "&amp;SUMPRODUCT((Tavoli!$E$2:$AB$41=AA234)*Tavoli!$A$2:$A$41))))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6" t="n"/>
      <c r="Z235" s="6" t="n"/>
      <c r="AA235" s="8">
        <f>IF(OR(A235&lt;&gt;"",B235&lt;&gt;""),TRIM(A235&amp;" "&amp;B235),"")</f>
        <v/>
      </c>
      <c r="AB235" s="8">
        <f>IF(AA235="","",IF(COUNTIF(Tavoli!$E$2:$AB$41,AA235)=0,"Da assegnare",IF(COUNTIF(Tavoli!$E$2:$AB$41,AA235)&gt;1,"DUPLICATO","Tavolo "&amp;SUMPRODUCT((Tavoli!$E$2:$AB$41=AA235)*Tavoli!$A$2:$A$41))))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6" t="n"/>
      <c r="Z236" s="6" t="n"/>
      <c r="AA236" s="8">
        <f>IF(OR(A236&lt;&gt;"",B236&lt;&gt;""),TRIM(A236&amp;" "&amp;B236),"")</f>
        <v/>
      </c>
      <c r="AB236" s="8">
        <f>IF(AA236="","",IF(COUNTIF(Tavoli!$E$2:$AB$41,AA236)=0,"Da assegnare",IF(COUNTIF(Tavoli!$E$2:$AB$41,AA236)&gt;1,"DUPLICATO","Tavolo "&amp;SUMPRODUCT((Tavoli!$E$2:$AB$41=AA236)*Tavoli!$A$2:$A$41))))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6" t="n"/>
      <c r="Z237" s="6" t="n"/>
      <c r="AA237" s="8">
        <f>IF(OR(A237&lt;&gt;"",B237&lt;&gt;""),TRIM(A237&amp;" "&amp;B237),"")</f>
        <v/>
      </c>
      <c r="AB237" s="8">
        <f>IF(AA237="","",IF(COUNTIF(Tavoli!$E$2:$AB$41,AA237)=0,"Da assegnare",IF(COUNTIF(Tavoli!$E$2:$AB$41,AA237)&gt;1,"DUPLICATO","Tavolo "&amp;SUMPRODUCT((Tavoli!$E$2:$AB$41=AA237)*Tavoli!$A$2:$A$41))))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6" t="n"/>
      <c r="Z238" s="6" t="n"/>
      <c r="AA238" s="8">
        <f>IF(OR(A238&lt;&gt;"",B238&lt;&gt;""),TRIM(A238&amp;" "&amp;B238),"")</f>
        <v/>
      </c>
      <c r="AB238" s="8">
        <f>IF(AA238="","",IF(COUNTIF(Tavoli!$E$2:$AB$41,AA238)=0,"Da assegnare",IF(COUNTIF(Tavoli!$E$2:$AB$41,AA238)&gt;1,"DUPLICATO","Tavolo "&amp;SUMPRODUCT((Tavoli!$E$2:$AB$41=AA238)*Tavoli!$A$2:$A$41))))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6" t="n"/>
      <c r="Z239" s="6" t="n"/>
      <c r="AA239" s="8">
        <f>IF(OR(A239&lt;&gt;"",B239&lt;&gt;""),TRIM(A239&amp;" "&amp;B239),"")</f>
        <v/>
      </c>
      <c r="AB239" s="8">
        <f>IF(AA239="","",IF(COUNTIF(Tavoli!$E$2:$AB$41,AA239)=0,"Da assegnare",IF(COUNTIF(Tavoli!$E$2:$AB$41,AA239)&gt;1,"DUPLICATO","Tavolo "&amp;SUMPRODUCT((Tavoli!$E$2:$AB$41=AA239)*Tavoli!$A$2:$A$41))))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6" t="n"/>
      <c r="Z240" s="6" t="n"/>
      <c r="AA240" s="8">
        <f>IF(OR(A240&lt;&gt;"",B240&lt;&gt;""),TRIM(A240&amp;" "&amp;B240),"")</f>
        <v/>
      </c>
      <c r="AB240" s="8">
        <f>IF(AA240="","",IF(COUNTIF(Tavoli!$E$2:$AB$41,AA240)=0,"Da assegnare",IF(COUNTIF(Tavoli!$E$2:$AB$41,AA240)&gt;1,"DUPLICATO","Tavolo "&amp;SUMPRODUCT((Tavoli!$E$2:$AB$41=AA240)*Tavoli!$A$2:$A$41))))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6" t="n"/>
      <c r="Z241" s="6" t="n"/>
      <c r="AA241" s="8">
        <f>IF(OR(A241&lt;&gt;"",B241&lt;&gt;""),TRIM(A241&amp;" "&amp;B241),"")</f>
        <v/>
      </c>
      <c r="AB241" s="8">
        <f>IF(AA241="","",IF(COUNTIF(Tavoli!$E$2:$AB$41,AA241)=0,"Da assegnare",IF(COUNTIF(Tavoli!$E$2:$AB$41,AA241)&gt;1,"DUPLICATO","Tavolo "&amp;SUMPRODUCT((Tavoli!$E$2:$AB$41=AA241)*Tavoli!$A$2:$A$41))))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6" t="n"/>
      <c r="Z242" s="6" t="n"/>
      <c r="AA242" s="8">
        <f>IF(OR(A242&lt;&gt;"",B242&lt;&gt;""),TRIM(A242&amp;" "&amp;B242),"")</f>
        <v/>
      </c>
      <c r="AB242" s="8">
        <f>IF(AA242="","",IF(COUNTIF(Tavoli!$E$2:$AB$41,AA242)=0,"Da assegnare",IF(COUNTIF(Tavoli!$E$2:$AB$41,AA242)&gt;1,"DUPLICATO","Tavolo "&amp;SUMPRODUCT((Tavoli!$E$2:$AB$41=AA242)*Tavoli!$A$2:$A$41))))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6" t="n"/>
      <c r="Z243" s="6" t="n"/>
      <c r="AA243" s="8">
        <f>IF(OR(A243&lt;&gt;"",B243&lt;&gt;""),TRIM(A243&amp;" "&amp;B243),"")</f>
        <v/>
      </c>
      <c r="AB243" s="8">
        <f>IF(AA243="","",IF(COUNTIF(Tavoli!$E$2:$AB$41,AA243)=0,"Da assegnare",IF(COUNTIF(Tavoli!$E$2:$AB$41,AA243)&gt;1,"DUPLICATO","Tavolo "&amp;SUMPRODUCT((Tavoli!$E$2:$AB$41=AA243)*Tavoli!$A$2:$A$41))))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6" t="n"/>
      <c r="Z244" s="6" t="n"/>
      <c r="AA244" s="8">
        <f>IF(OR(A244&lt;&gt;"",B244&lt;&gt;""),TRIM(A244&amp;" "&amp;B244),"")</f>
        <v/>
      </c>
      <c r="AB244" s="8">
        <f>IF(AA244="","",IF(COUNTIF(Tavoli!$E$2:$AB$41,AA244)=0,"Da assegnare",IF(COUNTIF(Tavoli!$E$2:$AB$41,AA244)&gt;1,"DUPLICATO","Tavolo "&amp;SUMPRODUCT((Tavoli!$E$2:$AB$41=AA244)*Tavoli!$A$2:$A$41))))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6" t="n"/>
      <c r="Z245" s="6" t="n"/>
      <c r="AA245" s="8">
        <f>IF(OR(A245&lt;&gt;"",B245&lt;&gt;""),TRIM(A245&amp;" "&amp;B245),"")</f>
        <v/>
      </c>
      <c r="AB245" s="8">
        <f>IF(AA245="","",IF(COUNTIF(Tavoli!$E$2:$AB$41,AA245)=0,"Da assegnare",IF(COUNTIF(Tavoli!$E$2:$AB$41,AA245)&gt;1,"DUPLICATO","Tavolo "&amp;SUMPRODUCT((Tavoli!$E$2:$AB$41=AA245)*Tavoli!$A$2:$A$41))))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6" t="n"/>
      <c r="Z246" s="6" t="n"/>
      <c r="AA246" s="8">
        <f>IF(OR(A246&lt;&gt;"",B246&lt;&gt;""),TRIM(A246&amp;" "&amp;B246),"")</f>
        <v/>
      </c>
      <c r="AB246" s="8">
        <f>IF(AA246="","",IF(COUNTIF(Tavoli!$E$2:$AB$41,AA246)=0,"Da assegnare",IF(COUNTIF(Tavoli!$E$2:$AB$41,AA246)&gt;1,"DUPLICATO","Tavolo "&amp;SUMPRODUCT((Tavoli!$E$2:$AB$41=AA246)*Tavoli!$A$2:$A$41))))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6" t="n"/>
      <c r="Z247" s="6" t="n"/>
      <c r="AA247" s="8">
        <f>IF(OR(A247&lt;&gt;"",B247&lt;&gt;""),TRIM(A247&amp;" "&amp;B247),"")</f>
        <v/>
      </c>
      <c r="AB247" s="8">
        <f>IF(AA247="","",IF(COUNTIF(Tavoli!$E$2:$AB$41,AA247)=0,"Da assegnare",IF(COUNTIF(Tavoli!$E$2:$AB$41,AA247)&gt;1,"DUPLICATO","Tavolo "&amp;SUMPRODUCT((Tavoli!$E$2:$AB$41=AA247)*Tavoli!$A$2:$A$41))))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6" t="n"/>
      <c r="Z248" s="6" t="n"/>
      <c r="AA248" s="8">
        <f>IF(OR(A248&lt;&gt;"",B248&lt;&gt;""),TRIM(A248&amp;" "&amp;B248),"")</f>
        <v/>
      </c>
      <c r="AB248" s="8">
        <f>IF(AA248="","",IF(COUNTIF(Tavoli!$E$2:$AB$41,AA248)=0,"Da assegnare",IF(COUNTIF(Tavoli!$E$2:$AB$41,AA248)&gt;1,"DUPLICATO","Tavolo "&amp;SUMPRODUCT((Tavoli!$E$2:$AB$41=AA248)*Tavoli!$A$2:$A$41))))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6" t="n"/>
      <c r="Z249" s="6" t="n"/>
      <c r="AA249" s="8">
        <f>IF(OR(A249&lt;&gt;"",B249&lt;&gt;""),TRIM(A249&amp;" "&amp;B249),"")</f>
        <v/>
      </c>
      <c r="AB249" s="8">
        <f>IF(AA249="","",IF(COUNTIF(Tavoli!$E$2:$AB$41,AA249)=0,"Da assegnare",IF(COUNTIF(Tavoli!$E$2:$AB$41,AA249)&gt;1,"DUPLICATO","Tavolo "&amp;SUMPRODUCT((Tavoli!$E$2:$AB$41=AA249)*Tavoli!$A$2:$A$41))))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6" t="n"/>
      <c r="Z250" s="6" t="n"/>
      <c r="AA250" s="8">
        <f>IF(OR(A250&lt;&gt;"",B250&lt;&gt;""),TRIM(A250&amp;" "&amp;B250),"")</f>
        <v/>
      </c>
      <c r="AB250" s="8">
        <f>IF(AA250="","",IF(COUNTIF(Tavoli!$E$2:$AB$41,AA250)=0,"Da assegnare",IF(COUNTIF(Tavoli!$E$2:$AB$41,AA250)&gt;1,"DUPLICATO","Tavolo "&amp;SUMPRODUCT((Tavoli!$E$2:$AB$41=AA250)*Tavoli!$A$2:$A$41))))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6" t="n"/>
      <c r="Z251" s="6" t="n"/>
      <c r="AA251" s="8">
        <f>IF(OR(A251&lt;&gt;"",B251&lt;&gt;""),TRIM(A251&amp;" "&amp;B251),"")</f>
        <v/>
      </c>
      <c r="AB251" s="8">
        <f>IF(AA251="","",IF(COUNTIF(Tavoli!$E$2:$AB$41,AA251)=0,"Da assegnare",IF(COUNTIF(Tavoli!$E$2:$AB$41,AA251)&gt;1,"DUPLICATO","Tavolo "&amp;SUMPRODUCT((Tavoli!$E$2:$AB$41=AA251)*Tavoli!$A$2:$A$41))))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6" t="n"/>
      <c r="Z252" s="6" t="n"/>
      <c r="AA252" s="8">
        <f>IF(OR(A252&lt;&gt;"",B252&lt;&gt;""),TRIM(A252&amp;" "&amp;B252),"")</f>
        <v/>
      </c>
      <c r="AB252" s="8">
        <f>IF(AA252="","",IF(COUNTIF(Tavoli!$E$2:$AB$41,AA252)=0,"Da assegnare",IF(COUNTIF(Tavoli!$E$2:$AB$41,AA252)&gt;1,"DUPLICATO","Tavolo "&amp;SUMPRODUCT((Tavoli!$E$2:$AB$41=AA252)*Tavoli!$A$2:$A$41))))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6" t="n"/>
      <c r="Z253" s="6" t="n"/>
      <c r="AA253" s="8">
        <f>IF(OR(A253&lt;&gt;"",B253&lt;&gt;""),TRIM(A253&amp;" "&amp;B253),"")</f>
        <v/>
      </c>
      <c r="AB253" s="8">
        <f>IF(AA253="","",IF(COUNTIF(Tavoli!$E$2:$AB$41,AA253)=0,"Da assegnare",IF(COUNTIF(Tavoli!$E$2:$AB$41,AA253)&gt;1,"DUPLICATO","Tavolo "&amp;SUMPRODUCT((Tavoli!$E$2:$AB$41=AA253)*Tavoli!$A$2:$A$41))))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6" t="n"/>
      <c r="Z254" s="6" t="n"/>
      <c r="AA254" s="8">
        <f>IF(OR(A254&lt;&gt;"",B254&lt;&gt;""),TRIM(A254&amp;" "&amp;B254),"")</f>
        <v/>
      </c>
      <c r="AB254" s="8">
        <f>IF(AA254="","",IF(COUNTIF(Tavoli!$E$2:$AB$41,AA254)=0,"Da assegnare",IF(COUNTIF(Tavoli!$E$2:$AB$41,AA254)&gt;1,"DUPLICATO","Tavolo "&amp;SUMPRODUCT((Tavoli!$E$2:$AB$41=AA254)*Tavoli!$A$2:$A$41))))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6" t="n"/>
      <c r="Z255" s="6" t="n"/>
      <c r="AA255" s="8">
        <f>IF(OR(A255&lt;&gt;"",B255&lt;&gt;""),TRIM(A255&amp;" "&amp;B255),"")</f>
        <v/>
      </c>
      <c r="AB255" s="8">
        <f>IF(AA255="","",IF(COUNTIF(Tavoli!$E$2:$AB$41,AA255)=0,"Da assegnare",IF(COUNTIF(Tavoli!$E$2:$AB$41,AA255)&gt;1,"DUPLICATO","Tavolo "&amp;SUMPRODUCT((Tavoli!$E$2:$AB$41=AA255)*Tavoli!$A$2:$A$41))))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6" t="n"/>
      <c r="Z256" s="6" t="n"/>
      <c r="AA256" s="8">
        <f>IF(OR(A256&lt;&gt;"",B256&lt;&gt;""),TRIM(A256&amp;" "&amp;B256),"")</f>
        <v/>
      </c>
      <c r="AB256" s="8">
        <f>IF(AA256="","",IF(COUNTIF(Tavoli!$E$2:$AB$41,AA256)=0,"Da assegnare",IF(COUNTIF(Tavoli!$E$2:$AB$41,AA256)&gt;1,"DUPLICATO","Tavolo "&amp;SUMPRODUCT((Tavoli!$E$2:$AB$41=AA256)*Tavoli!$A$2:$A$41))))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6" t="n"/>
      <c r="Z257" s="6" t="n"/>
      <c r="AA257" s="8">
        <f>IF(OR(A257&lt;&gt;"",B257&lt;&gt;""),TRIM(A257&amp;" "&amp;B257),"")</f>
        <v/>
      </c>
      <c r="AB257" s="8">
        <f>IF(AA257="","",IF(COUNTIF(Tavoli!$E$2:$AB$41,AA257)=0,"Da assegnare",IF(COUNTIF(Tavoli!$E$2:$AB$41,AA257)&gt;1,"DUPLICATO","Tavolo "&amp;SUMPRODUCT((Tavoli!$E$2:$AB$41=AA257)*Tavoli!$A$2:$A$41))))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6" t="n"/>
      <c r="Z258" s="6" t="n"/>
      <c r="AA258" s="8">
        <f>IF(OR(A258&lt;&gt;"",B258&lt;&gt;""),TRIM(A258&amp;" "&amp;B258),"")</f>
        <v/>
      </c>
      <c r="AB258" s="8">
        <f>IF(AA258="","",IF(COUNTIF(Tavoli!$E$2:$AB$41,AA258)=0,"Da assegnare",IF(COUNTIF(Tavoli!$E$2:$AB$41,AA258)&gt;1,"DUPLICATO","Tavolo "&amp;SUMPRODUCT((Tavoli!$E$2:$AB$41=AA258)*Tavoli!$A$2:$A$41))))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6" t="n"/>
      <c r="Z259" s="6" t="n"/>
      <c r="AA259" s="8">
        <f>IF(OR(A259&lt;&gt;"",B259&lt;&gt;""),TRIM(A259&amp;" "&amp;B259),"")</f>
        <v/>
      </c>
      <c r="AB259" s="8">
        <f>IF(AA259="","",IF(COUNTIF(Tavoli!$E$2:$AB$41,AA259)=0,"Da assegnare",IF(COUNTIF(Tavoli!$E$2:$AB$41,AA259)&gt;1,"DUPLICATO","Tavolo "&amp;SUMPRODUCT((Tavoli!$E$2:$AB$41=AA259)*Tavoli!$A$2:$A$41))))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6" t="n"/>
      <c r="Z260" s="6" t="n"/>
      <c r="AA260" s="8">
        <f>IF(OR(A260&lt;&gt;"",B260&lt;&gt;""),TRIM(A260&amp;" "&amp;B260),"")</f>
        <v/>
      </c>
      <c r="AB260" s="8">
        <f>IF(AA260="","",IF(COUNTIF(Tavoli!$E$2:$AB$41,AA260)=0,"Da assegnare",IF(COUNTIF(Tavoli!$E$2:$AB$41,AA260)&gt;1,"DUPLICATO","Tavolo "&amp;SUMPRODUCT((Tavoli!$E$2:$AB$41=AA260)*Tavoli!$A$2:$A$41))))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6" t="n"/>
      <c r="Z261" s="6" t="n"/>
      <c r="AA261" s="8">
        <f>IF(OR(A261&lt;&gt;"",B261&lt;&gt;""),TRIM(A261&amp;" "&amp;B261),"")</f>
        <v/>
      </c>
      <c r="AB261" s="8">
        <f>IF(AA261="","",IF(COUNTIF(Tavoli!$E$2:$AB$41,AA261)=0,"Da assegnare",IF(COUNTIF(Tavoli!$E$2:$AB$41,AA261)&gt;1,"DUPLICATO","Tavolo "&amp;SUMPRODUCT((Tavoli!$E$2:$AB$41=AA261)*Tavoli!$A$2:$A$41))))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6" t="n"/>
      <c r="Z262" s="6" t="n"/>
      <c r="AA262" s="8">
        <f>IF(OR(A262&lt;&gt;"",B262&lt;&gt;""),TRIM(A262&amp;" "&amp;B262),"")</f>
        <v/>
      </c>
      <c r="AB262" s="8">
        <f>IF(AA262="","",IF(COUNTIF(Tavoli!$E$2:$AB$41,AA262)=0,"Da assegnare",IF(COUNTIF(Tavoli!$E$2:$AB$41,AA262)&gt;1,"DUPLICATO","Tavolo "&amp;SUMPRODUCT((Tavoli!$E$2:$AB$41=AA262)*Tavoli!$A$2:$A$41))))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6" t="n"/>
      <c r="Z263" s="6" t="n"/>
      <c r="AA263" s="8">
        <f>IF(OR(A263&lt;&gt;"",B263&lt;&gt;""),TRIM(A263&amp;" "&amp;B263),"")</f>
        <v/>
      </c>
      <c r="AB263" s="8">
        <f>IF(AA263="","",IF(COUNTIF(Tavoli!$E$2:$AB$41,AA263)=0,"Da assegnare",IF(COUNTIF(Tavoli!$E$2:$AB$41,AA263)&gt;1,"DUPLICATO","Tavolo "&amp;SUMPRODUCT((Tavoli!$E$2:$AB$41=AA263)*Tavoli!$A$2:$A$41))))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6" t="n"/>
      <c r="Z264" s="6" t="n"/>
      <c r="AA264" s="8">
        <f>IF(OR(A264&lt;&gt;"",B264&lt;&gt;""),TRIM(A264&amp;" "&amp;B264),"")</f>
        <v/>
      </c>
      <c r="AB264" s="8">
        <f>IF(AA264="","",IF(COUNTIF(Tavoli!$E$2:$AB$41,AA264)=0,"Da assegnare",IF(COUNTIF(Tavoli!$E$2:$AB$41,AA264)&gt;1,"DUPLICATO","Tavolo "&amp;SUMPRODUCT((Tavoli!$E$2:$AB$41=AA264)*Tavoli!$A$2:$A$41))))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6" t="n"/>
      <c r="Z265" s="6" t="n"/>
      <c r="AA265" s="8">
        <f>IF(OR(A265&lt;&gt;"",B265&lt;&gt;""),TRIM(A265&amp;" "&amp;B265),"")</f>
        <v/>
      </c>
      <c r="AB265" s="8">
        <f>IF(AA265="","",IF(COUNTIF(Tavoli!$E$2:$AB$41,AA265)=0,"Da assegnare",IF(COUNTIF(Tavoli!$E$2:$AB$41,AA265)&gt;1,"DUPLICATO","Tavolo "&amp;SUMPRODUCT((Tavoli!$E$2:$AB$41=AA265)*Tavoli!$A$2:$A$41))))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6" t="n"/>
      <c r="Z266" s="6" t="n"/>
      <c r="AA266" s="8">
        <f>IF(OR(A266&lt;&gt;"",B266&lt;&gt;""),TRIM(A266&amp;" "&amp;B266),"")</f>
        <v/>
      </c>
      <c r="AB266" s="8">
        <f>IF(AA266="","",IF(COUNTIF(Tavoli!$E$2:$AB$41,AA266)=0,"Da assegnare",IF(COUNTIF(Tavoli!$E$2:$AB$41,AA266)&gt;1,"DUPLICATO","Tavolo "&amp;SUMPRODUCT((Tavoli!$E$2:$AB$41=AA266)*Tavoli!$A$2:$A$41))))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6" t="n"/>
      <c r="Z267" s="6" t="n"/>
      <c r="AA267" s="8">
        <f>IF(OR(A267&lt;&gt;"",B267&lt;&gt;""),TRIM(A267&amp;" "&amp;B267),"")</f>
        <v/>
      </c>
      <c r="AB267" s="8">
        <f>IF(AA267="","",IF(COUNTIF(Tavoli!$E$2:$AB$41,AA267)=0,"Da assegnare",IF(COUNTIF(Tavoli!$E$2:$AB$41,AA267)&gt;1,"DUPLICATO","Tavolo "&amp;SUMPRODUCT((Tavoli!$E$2:$AB$41=AA267)*Tavoli!$A$2:$A$41))))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6" t="n"/>
      <c r="Z268" s="6" t="n"/>
      <c r="AA268" s="8">
        <f>IF(OR(A268&lt;&gt;"",B268&lt;&gt;""),TRIM(A268&amp;" "&amp;B268),"")</f>
        <v/>
      </c>
      <c r="AB268" s="8">
        <f>IF(AA268="","",IF(COUNTIF(Tavoli!$E$2:$AB$41,AA268)=0,"Da assegnare",IF(COUNTIF(Tavoli!$E$2:$AB$41,AA268)&gt;1,"DUPLICATO","Tavolo "&amp;SUMPRODUCT((Tavoli!$E$2:$AB$41=AA268)*Tavoli!$A$2:$A$41))))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6" t="n"/>
      <c r="Z269" s="6" t="n"/>
      <c r="AA269" s="8">
        <f>IF(OR(A269&lt;&gt;"",B269&lt;&gt;""),TRIM(A269&amp;" "&amp;B269),"")</f>
        <v/>
      </c>
      <c r="AB269" s="8">
        <f>IF(AA269="","",IF(COUNTIF(Tavoli!$E$2:$AB$41,AA269)=0,"Da assegnare",IF(COUNTIF(Tavoli!$E$2:$AB$41,AA269)&gt;1,"DUPLICATO","Tavolo "&amp;SUMPRODUCT((Tavoli!$E$2:$AB$41=AA269)*Tavoli!$A$2:$A$41))))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6" t="n"/>
      <c r="Z270" s="6" t="n"/>
      <c r="AA270" s="8">
        <f>IF(OR(A270&lt;&gt;"",B270&lt;&gt;""),TRIM(A270&amp;" "&amp;B270),"")</f>
        <v/>
      </c>
      <c r="AB270" s="8">
        <f>IF(AA270="","",IF(COUNTIF(Tavoli!$E$2:$AB$41,AA270)=0,"Da assegnare",IF(COUNTIF(Tavoli!$E$2:$AB$41,AA270)&gt;1,"DUPLICATO","Tavolo "&amp;SUMPRODUCT((Tavoli!$E$2:$AB$41=AA270)*Tavoli!$A$2:$A$41))))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6" t="n"/>
      <c r="Z271" s="6" t="n"/>
      <c r="AA271" s="8">
        <f>IF(OR(A271&lt;&gt;"",B271&lt;&gt;""),TRIM(A271&amp;" "&amp;B271),"")</f>
        <v/>
      </c>
      <c r="AB271" s="8">
        <f>IF(AA271="","",IF(COUNTIF(Tavoli!$E$2:$AB$41,AA271)=0,"Da assegnare",IF(COUNTIF(Tavoli!$E$2:$AB$41,AA271)&gt;1,"DUPLICATO","Tavolo "&amp;SUMPRODUCT((Tavoli!$E$2:$AB$41=AA271)*Tavoli!$A$2:$A$41))))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6" t="n"/>
      <c r="Z272" s="6" t="n"/>
      <c r="AA272" s="8">
        <f>IF(OR(A272&lt;&gt;"",B272&lt;&gt;""),TRIM(A272&amp;" "&amp;B272),"")</f>
        <v/>
      </c>
      <c r="AB272" s="8">
        <f>IF(AA272="","",IF(COUNTIF(Tavoli!$E$2:$AB$41,AA272)=0,"Da assegnare",IF(COUNTIF(Tavoli!$E$2:$AB$41,AA272)&gt;1,"DUPLICATO","Tavolo "&amp;SUMPRODUCT((Tavoli!$E$2:$AB$41=AA272)*Tavoli!$A$2:$A$41))))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6" t="n"/>
      <c r="Z273" s="6" t="n"/>
      <c r="AA273" s="8">
        <f>IF(OR(A273&lt;&gt;"",B273&lt;&gt;""),TRIM(A273&amp;" "&amp;B273),"")</f>
        <v/>
      </c>
      <c r="AB273" s="8">
        <f>IF(AA273="","",IF(COUNTIF(Tavoli!$E$2:$AB$41,AA273)=0,"Da assegnare",IF(COUNTIF(Tavoli!$E$2:$AB$41,AA273)&gt;1,"DUPLICATO","Tavolo "&amp;SUMPRODUCT((Tavoli!$E$2:$AB$41=AA273)*Tavoli!$A$2:$A$41))))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6" t="n"/>
      <c r="Z274" s="6" t="n"/>
      <c r="AA274" s="8">
        <f>IF(OR(A274&lt;&gt;"",B274&lt;&gt;""),TRIM(A274&amp;" "&amp;B274),"")</f>
        <v/>
      </c>
      <c r="AB274" s="8">
        <f>IF(AA274="","",IF(COUNTIF(Tavoli!$E$2:$AB$41,AA274)=0,"Da assegnare",IF(COUNTIF(Tavoli!$E$2:$AB$41,AA274)&gt;1,"DUPLICATO","Tavolo "&amp;SUMPRODUCT((Tavoli!$E$2:$AB$41=AA274)*Tavoli!$A$2:$A$41))))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6" t="n"/>
      <c r="Z275" s="6" t="n"/>
      <c r="AA275" s="8">
        <f>IF(OR(A275&lt;&gt;"",B275&lt;&gt;""),TRIM(A275&amp;" "&amp;B275),"")</f>
        <v/>
      </c>
      <c r="AB275" s="8">
        <f>IF(AA275="","",IF(COUNTIF(Tavoli!$E$2:$AB$41,AA275)=0,"Da assegnare",IF(COUNTIF(Tavoli!$E$2:$AB$41,AA275)&gt;1,"DUPLICATO","Tavolo "&amp;SUMPRODUCT((Tavoli!$E$2:$AB$41=AA275)*Tavoli!$A$2:$A$41))))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6" t="n"/>
      <c r="Z276" s="6" t="n"/>
      <c r="AA276" s="8">
        <f>IF(OR(A276&lt;&gt;"",B276&lt;&gt;""),TRIM(A276&amp;" "&amp;B276),"")</f>
        <v/>
      </c>
      <c r="AB276" s="8">
        <f>IF(AA276="","",IF(COUNTIF(Tavoli!$E$2:$AB$41,AA276)=0,"Da assegnare",IF(COUNTIF(Tavoli!$E$2:$AB$41,AA276)&gt;1,"DUPLICATO","Tavolo "&amp;SUMPRODUCT((Tavoli!$E$2:$AB$41=AA276)*Tavoli!$A$2:$A$41))))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6" t="n"/>
      <c r="Z277" s="6" t="n"/>
      <c r="AA277" s="8">
        <f>IF(OR(A277&lt;&gt;"",B277&lt;&gt;""),TRIM(A277&amp;" "&amp;B277),"")</f>
        <v/>
      </c>
      <c r="AB277" s="8">
        <f>IF(AA277="","",IF(COUNTIF(Tavoli!$E$2:$AB$41,AA277)=0,"Da assegnare",IF(COUNTIF(Tavoli!$E$2:$AB$41,AA277)&gt;1,"DUPLICATO","Tavolo "&amp;SUMPRODUCT((Tavoli!$E$2:$AB$41=AA277)*Tavoli!$A$2:$A$41))))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6" t="n"/>
      <c r="Z278" s="6" t="n"/>
      <c r="AA278" s="8">
        <f>IF(OR(A278&lt;&gt;"",B278&lt;&gt;""),TRIM(A278&amp;" "&amp;B278),"")</f>
        <v/>
      </c>
      <c r="AB278" s="8">
        <f>IF(AA278="","",IF(COUNTIF(Tavoli!$E$2:$AB$41,AA278)=0,"Da assegnare",IF(COUNTIF(Tavoli!$E$2:$AB$41,AA278)&gt;1,"DUPLICATO","Tavolo "&amp;SUMPRODUCT((Tavoli!$E$2:$AB$41=AA278)*Tavoli!$A$2:$A$41))))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6" t="n"/>
      <c r="Z279" s="6" t="n"/>
      <c r="AA279" s="8">
        <f>IF(OR(A279&lt;&gt;"",B279&lt;&gt;""),TRIM(A279&amp;" "&amp;B279),"")</f>
        <v/>
      </c>
      <c r="AB279" s="8">
        <f>IF(AA279="","",IF(COUNTIF(Tavoli!$E$2:$AB$41,AA279)=0,"Da assegnare",IF(COUNTIF(Tavoli!$E$2:$AB$41,AA279)&gt;1,"DUPLICATO","Tavolo "&amp;SUMPRODUCT((Tavoli!$E$2:$AB$41=AA279)*Tavoli!$A$2:$A$41))))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6" t="n"/>
      <c r="Z280" s="6" t="n"/>
      <c r="AA280" s="8">
        <f>IF(OR(A280&lt;&gt;"",B280&lt;&gt;""),TRIM(A280&amp;" "&amp;B280),"")</f>
        <v/>
      </c>
      <c r="AB280" s="8">
        <f>IF(AA280="","",IF(COUNTIF(Tavoli!$E$2:$AB$41,AA280)=0,"Da assegnare",IF(COUNTIF(Tavoli!$E$2:$AB$41,AA280)&gt;1,"DUPLICATO","Tavolo "&amp;SUMPRODUCT((Tavoli!$E$2:$AB$41=AA280)*Tavoli!$A$2:$A$41))))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6" t="n"/>
      <c r="Z281" s="6" t="n"/>
      <c r="AA281" s="8">
        <f>IF(OR(A281&lt;&gt;"",B281&lt;&gt;""),TRIM(A281&amp;" "&amp;B281),"")</f>
        <v/>
      </c>
      <c r="AB281" s="8">
        <f>IF(AA281="","",IF(COUNTIF(Tavoli!$E$2:$AB$41,AA281)=0,"Da assegnare",IF(COUNTIF(Tavoli!$E$2:$AB$41,AA281)&gt;1,"DUPLICATO","Tavolo "&amp;SUMPRODUCT((Tavoli!$E$2:$AB$41=AA281)*Tavoli!$A$2:$A$41))))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6" t="n"/>
      <c r="Z282" s="6" t="n"/>
      <c r="AA282" s="8">
        <f>IF(OR(A282&lt;&gt;"",B282&lt;&gt;""),TRIM(A282&amp;" "&amp;B282),"")</f>
        <v/>
      </c>
      <c r="AB282" s="8">
        <f>IF(AA282="","",IF(COUNTIF(Tavoli!$E$2:$AB$41,AA282)=0,"Da assegnare",IF(COUNTIF(Tavoli!$E$2:$AB$41,AA282)&gt;1,"DUPLICATO","Tavolo "&amp;SUMPRODUCT((Tavoli!$E$2:$AB$41=AA282)*Tavoli!$A$2:$A$41))))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6" t="n"/>
      <c r="Z283" s="6" t="n"/>
      <c r="AA283" s="8">
        <f>IF(OR(A283&lt;&gt;"",B283&lt;&gt;""),TRIM(A283&amp;" "&amp;B283),"")</f>
        <v/>
      </c>
      <c r="AB283" s="8">
        <f>IF(AA283="","",IF(COUNTIF(Tavoli!$E$2:$AB$41,AA283)=0,"Da assegnare",IF(COUNTIF(Tavoli!$E$2:$AB$41,AA283)&gt;1,"DUPLICATO","Tavolo "&amp;SUMPRODUCT((Tavoli!$E$2:$AB$41=AA283)*Tavoli!$A$2:$A$41))))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6" t="n"/>
      <c r="Z284" s="6" t="n"/>
      <c r="AA284" s="8">
        <f>IF(OR(A284&lt;&gt;"",B284&lt;&gt;""),TRIM(A284&amp;" "&amp;B284),"")</f>
        <v/>
      </c>
      <c r="AB284" s="8">
        <f>IF(AA284="","",IF(COUNTIF(Tavoli!$E$2:$AB$41,AA284)=0,"Da assegnare",IF(COUNTIF(Tavoli!$E$2:$AB$41,AA284)&gt;1,"DUPLICATO","Tavolo "&amp;SUMPRODUCT((Tavoli!$E$2:$AB$41=AA284)*Tavoli!$A$2:$A$41))))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6" t="n"/>
      <c r="Z285" s="6" t="n"/>
      <c r="AA285" s="8">
        <f>IF(OR(A285&lt;&gt;"",B285&lt;&gt;""),TRIM(A285&amp;" "&amp;B285),"")</f>
        <v/>
      </c>
      <c r="AB285" s="8">
        <f>IF(AA285="","",IF(COUNTIF(Tavoli!$E$2:$AB$41,AA285)=0,"Da assegnare",IF(COUNTIF(Tavoli!$E$2:$AB$41,AA285)&gt;1,"DUPLICATO","Tavolo "&amp;SUMPRODUCT((Tavoli!$E$2:$AB$41=AA285)*Tavoli!$A$2:$A$41))))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6" t="n"/>
      <c r="Z286" s="6" t="n"/>
      <c r="AA286" s="8">
        <f>IF(OR(A286&lt;&gt;"",B286&lt;&gt;""),TRIM(A286&amp;" "&amp;B286),"")</f>
        <v/>
      </c>
      <c r="AB286" s="8">
        <f>IF(AA286="","",IF(COUNTIF(Tavoli!$E$2:$AB$41,AA286)=0,"Da assegnare",IF(COUNTIF(Tavoli!$E$2:$AB$41,AA286)&gt;1,"DUPLICATO","Tavolo "&amp;SUMPRODUCT((Tavoli!$E$2:$AB$41=AA286)*Tavoli!$A$2:$A$41))))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6" t="n"/>
      <c r="Z287" s="6" t="n"/>
      <c r="AA287" s="8">
        <f>IF(OR(A287&lt;&gt;"",B287&lt;&gt;""),TRIM(A287&amp;" "&amp;B287),"")</f>
        <v/>
      </c>
      <c r="AB287" s="8">
        <f>IF(AA287="","",IF(COUNTIF(Tavoli!$E$2:$AB$41,AA287)=0,"Da assegnare",IF(COUNTIF(Tavoli!$E$2:$AB$41,AA287)&gt;1,"DUPLICATO","Tavolo "&amp;SUMPRODUCT((Tavoli!$E$2:$AB$41=AA287)*Tavoli!$A$2:$A$41))))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6" t="n"/>
      <c r="Z288" s="6" t="n"/>
      <c r="AA288" s="8">
        <f>IF(OR(A288&lt;&gt;"",B288&lt;&gt;""),TRIM(A288&amp;" "&amp;B288),"")</f>
        <v/>
      </c>
      <c r="AB288" s="8">
        <f>IF(AA288="","",IF(COUNTIF(Tavoli!$E$2:$AB$41,AA288)=0,"Da assegnare",IF(COUNTIF(Tavoli!$E$2:$AB$41,AA288)&gt;1,"DUPLICATO","Tavolo "&amp;SUMPRODUCT((Tavoli!$E$2:$AB$41=AA288)*Tavoli!$A$2:$A$41))))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6" t="n"/>
      <c r="Z289" s="6" t="n"/>
      <c r="AA289" s="8">
        <f>IF(OR(A289&lt;&gt;"",B289&lt;&gt;""),TRIM(A289&amp;" "&amp;B289),"")</f>
        <v/>
      </c>
      <c r="AB289" s="8">
        <f>IF(AA289="","",IF(COUNTIF(Tavoli!$E$2:$AB$41,AA289)=0,"Da assegnare",IF(COUNTIF(Tavoli!$E$2:$AB$41,AA289)&gt;1,"DUPLICATO","Tavolo "&amp;SUMPRODUCT((Tavoli!$E$2:$AB$41=AA289)*Tavoli!$A$2:$A$41))))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6" t="n"/>
      <c r="Z290" s="6" t="n"/>
      <c r="AA290" s="8">
        <f>IF(OR(A290&lt;&gt;"",B290&lt;&gt;""),TRIM(A290&amp;" "&amp;B290),"")</f>
        <v/>
      </c>
      <c r="AB290" s="8">
        <f>IF(AA290="","",IF(COUNTIF(Tavoli!$E$2:$AB$41,AA290)=0,"Da assegnare",IF(COUNTIF(Tavoli!$E$2:$AB$41,AA290)&gt;1,"DUPLICATO","Tavolo "&amp;SUMPRODUCT((Tavoli!$E$2:$AB$41=AA290)*Tavoli!$A$2:$A$41))))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6" t="n"/>
      <c r="Z291" s="6" t="n"/>
      <c r="AA291" s="8">
        <f>IF(OR(A291&lt;&gt;"",B291&lt;&gt;""),TRIM(A291&amp;" "&amp;B291),"")</f>
        <v/>
      </c>
      <c r="AB291" s="8">
        <f>IF(AA291="","",IF(COUNTIF(Tavoli!$E$2:$AB$41,AA291)=0,"Da assegnare",IF(COUNTIF(Tavoli!$E$2:$AB$41,AA291)&gt;1,"DUPLICATO","Tavolo "&amp;SUMPRODUCT((Tavoli!$E$2:$AB$41=AA291)*Tavoli!$A$2:$A$41))))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6" t="n"/>
      <c r="Z292" s="6" t="n"/>
      <c r="AA292" s="8">
        <f>IF(OR(A292&lt;&gt;"",B292&lt;&gt;""),TRIM(A292&amp;" "&amp;B292),"")</f>
        <v/>
      </c>
      <c r="AB292" s="8">
        <f>IF(AA292="","",IF(COUNTIF(Tavoli!$E$2:$AB$41,AA292)=0,"Da assegnare",IF(COUNTIF(Tavoli!$E$2:$AB$41,AA292)&gt;1,"DUPLICATO","Tavolo "&amp;SUMPRODUCT((Tavoli!$E$2:$AB$41=AA292)*Tavoli!$A$2:$A$41))))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6" t="n"/>
      <c r="Z293" s="6" t="n"/>
      <c r="AA293" s="8">
        <f>IF(OR(A293&lt;&gt;"",B293&lt;&gt;""),TRIM(A293&amp;" "&amp;B293),"")</f>
        <v/>
      </c>
      <c r="AB293" s="8">
        <f>IF(AA293="","",IF(COUNTIF(Tavoli!$E$2:$AB$41,AA293)=0,"Da assegnare",IF(COUNTIF(Tavoli!$E$2:$AB$41,AA293)&gt;1,"DUPLICATO","Tavolo "&amp;SUMPRODUCT((Tavoli!$E$2:$AB$41=AA293)*Tavoli!$A$2:$A$41))))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6" t="n"/>
      <c r="Z294" s="6" t="n"/>
      <c r="AA294" s="8">
        <f>IF(OR(A294&lt;&gt;"",B294&lt;&gt;""),TRIM(A294&amp;" "&amp;B294),"")</f>
        <v/>
      </c>
      <c r="AB294" s="8">
        <f>IF(AA294="","",IF(COUNTIF(Tavoli!$E$2:$AB$41,AA294)=0,"Da assegnare",IF(COUNTIF(Tavoli!$E$2:$AB$41,AA294)&gt;1,"DUPLICATO","Tavolo "&amp;SUMPRODUCT((Tavoli!$E$2:$AB$41=AA294)*Tavoli!$A$2:$A$41))))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6" t="n"/>
      <c r="Z295" s="6" t="n"/>
      <c r="AA295" s="8">
        <f>IF(OR(A295&lt;&gt;"",B295&lt;&gt;""),TRIM(A295&amp;" "&amp;B295),"")</f>
        <v/>
      </c>
      <c r="AB295" s="8">
        <f>IF(AA295="","",IF(COUNTIF(Tavoli!$E$2:$AB$41,AA295)=0,"Da assegnare",IF(COUNTIF(Tavoli!$E$2:$AB$41,AA295)&gt;1,"DUPLICATO","Tavolo "&amp;SUMPRODUCT((Tavoli!$E$2:$AB$41=AA295)*Tavoli!$A$2:$A$41))))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6" t="n"/>
      <c r="Z296" s="6" t="n"/>
      <c r="AA296" s="8">
        <f>IF(OR(A296&lt;&gt;"",B296&lt;&gt;""),TRIM(A296&amp;" "&amp;B296),"")</f>
        <v/>
      </c>
      <c r="AB296" s="8">
        <f>IF(AA296="","",IF(COUNTIF(Tavoli!$E$2:$AB$41,AA296)=0,"Da assegnare",IF(COUNTIF(Tavoli!$E$2:$AB$41,AA296)&gt;1,"DUPLICATO","Tavolo "&amp;SUMPRODUCT((Tavoli!$E$2:$AB$41=AA296)*Tavoli!$A$2:$A$41))))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6" t="n"/>
      <c r="Z297" s="6" t="n"/>
      <c r="AA297" s="8">
        <f>IF(OR(A297&lt;&gt;"",B297&lt;&gt;""),TRIM(A297&amp;" "&amp;B297),"")</f>
        <v/>
      </c>
      <c r="AB297" s="8">
        <f>IF(AA297="","",IF(COUNTIF(Tavoli!$E$2:$AB$41,AA297)=0,"Da assegnare",IF(COUNTIF(Tavoli!$E$2:$AB$41,AA297)&gt;1,"DUPLICATO","Tavolo "&amp;SUMPRODUCT((Tavoli!$E$2:$AB$41=AA297)*Tavoli!$A$2:$A$41))))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6" t="n"/>
      <c r="Z298" s="6" t="n"/>
      <c r="AA298" s="8">
        <f>IF(OR(A298&lt;&gt;"",B298&lt;&gt;""),TRIM(A298&amp;" "&amp;B298),"")</f>
        <v/>
      </c>
      <c r="AB298" s="8">
        <f>IF(AA298="","",IF(COUNTIF(Tavoli!$E$2:$AB$41,AA298)=0,"Da assegnare",IF(COUNTIF(Tavoli!$E$2:$AB$41,AA298)&gt;1,"DUPLICATO","Tavolo "&amp;SUMPRODUCT((Tavoli!$E$2:$AB$41=AA298)*Tavoli!$A$2:$A$41))))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6" t="n"/>
      <c r="Z299" s="6" t="n"/>
      <c r="AA299" s="8">
        <f>IF(OR(A299&lt;&gt;"",B299&lt;&gt;""),TRIM(A299&amp;" "&amp;B299),"")</f>
        <v/>
      </c>
      <c r="AB299" s="8">
        <f>IF(AA299="","",IF(COUNTIF(Tavoli!$E$2:$AB$41,AA299)=0,"Da assegnare",IF(COUNTIF(Tavoli!$E$2:$AB$41,AA299)&gt;1,"DUPLICATO","Tavolo "&amp;SUMPRODUCT((Tavoli!$E$2:$AB$41=AA299)*Tavoli!$A$2:$A$41))))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6" t="n"/>
      <c r="Z300" s="6" t="n"/>
      <c r="AA300" s="8">
        <f>IF(OR(A300&lt;&gt;"",B300&lt;&gt;""),TRIM(A300&amp;" "&amp;B300),"")</f>
        <v/>
      </c>
      <c r="AB300" s="8">
        <f>IF(AA300="","",IF(COUNTIF(Tavoli!$E$2:$AB$41,AA300)=0,"Da assegnare",IF(COUNTIF(Tavoli!$E$2:$AB$41,AA300)&gt;1,"DUPLICATO","Tavolo "&amp;SUMPRODUCT((Tavoli!$E$2:$AB$41=AA300)*Tavoli!$A$2:$A$41))))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6" t="n"/>
      <c r="Z301" s="6" t="n"/>
      <c r="AA301" s="8">
        <f>IF(OR(A301&lt;&gt;"",B301&lt;&gt;""),TRIM(A301&amp;" "&amp;B301),"")</f>
        <v/>
      </c>
      <c r="AB301" s="8">
        <f>IF(AA301="","",IF(COUNTIF(Tavoli!$E$2:$AB$41,AA301)=0,"Da assegnare",IF(COUNTIF(Tavoli!$E$2:$AB$41,AA301)&gt;1,"DUPLICATO","Tavolo "&amp;SUMPRODUCT((Tavoli!$E$2:$AB$41=AA301)*Tavoli!$A$2:$A$41))))</f>
        <v/>
      </c>
    </row>
  </sheetData>
  <conditionalFormatting sqref="E2:R301">
    <cfRule type="cellIs" priority="1" operator="equal" dxfId="0">
      <formula>"X"</formula>
    </cfRule>
  </conditionalFormatting>
  <conditionalFormatting sqref="S2:X301">
    <cfRule type="cellIs" priority="2" operator="equal" dxfId="1">
      <formula>"X"</formula>
    </cfRule>
  </conditionalFormatting>
  <conditionalFormatting sqref="AB2:AB301">
    <cfRule type="expression" priority="3" dxfId="2">
      <formula>AB2="DUPLICATO"</formula>
    </cfRule>
    <cfRule type="expression" priority="4" dxfId="3">
      <formula>AB2="Da assegnare"</formula>
    </cfRule>
  </conditionalFormatting>
  <dataValidations count="3">
    <dataValidation sqref="C2:C301" showDropDown="0" showInputMessage="0" showErrorMessage="0" allowBlank="1" type="list">
      <formula1>"Adulto,Bambino,Neonato"</formula1>
    </dataValidation>
    <dataValidation sqref="D2:D301" showDropDown="0" showInputMessage="0" showErrorMessage="0" allowBlank="1" type="list">
      <formula1>"Vegetariano,Vegano,Fruttariano,Pescetariano,Crudista,Halal,Kosher"</formula1>
    </dataValidation>
    <dataValidation sqref="E2:X30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907A"/>
    <outlinePr summaryBelow="1" summaryRight="1"/>
    <pageSetUpPr/>
  </sheetPr>
  <dimension ref="A1:AD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0" customWidth="1" min="29" max="29"/>
    <col width="22" customWidth="1" min="30" max="30"/>
  </cols>
  <sheetData>
    <row r="1" ht="34" customHeight="1">
      <c r="A1" s="1" t="inlineStr">
        <is>
          <t>N. tavolo</t>
        </is>
      </c>
      <c r="B1" s="1" t="inlineStr">
        <is>
          <t>Nome tavolo (facoltativo)</t>
        </is>
      </c>
      <c r="C1" s="1" t="inlineStr">
        <is>
          <t>Forma tavolo</t>
        </is>
      </c>
      <c r="D1" s="1" t="inlineStr">
        <is>
          <t>N. posti</t>
        </is>
      </c>
      <c r="E1" s="5" t="inlineStr">
        <is>
          <t>Posto 1</t>
        </is>
      </c>
      <c r="F1" s="5" t="inlineStr">
        <is>
          <t>Posto 2</t>
        </is>
      </c>
      <c r="G1" s="5" t="inlineStr">
        <is>
          <t>Posto 3</t>
        </is>
      </c>
      <c r="H1" s="5" t="inlineStr">
        <is>
          <t>Posto 4</t>
        </is>
      </c>
      <c r="I1" s="5" t="inlineStr">
        <is>
          <t>Posto 5</t>
        </is>
      </c>
      <c r="J1" s="5" t="inlineStr">
        <is>
          <t>Posto 6</t>
        </is>
      </c>
      <c r="K1" s="5" t="inlineStr">
        <is>
          <t>Posto 7</t>
        </is>
      </c>
      <c r="L1" s="5" t="inlineStr">
        <is>
          <t>Posto 8</t>
        </is>
      </c>
      <c r="M1" s="5" t="inlineStr">
        <is>
          <t>Posto 9</t>
        </is>
      </c>
      <c r="N1" s="5" t="inlineStr">
        <is>
          <t>Posto 10</t>
        </is>
      </c>
      <c r="O1" s="5" t="inlineStr">
        <is>
          <t>Posto 11</t>
        </is>
      </c>
      <c r="P1" s="5" t="inlineStr">
        <is>
          <t>Posto 12</t>
        </is>
      </c>
      <c r="Q1" s="5" t="inlineStr">
        <is>
          <t>Posto 13</t>
        </is>
      </c>
      <c r="R1" s="5" t="inlineStr">
        <is>
          <t>Posto 14</t>
        </is>
      </c>
      <c r="S1" s="5" t="inlineStr">
        <is>
          <t>Posto 15</t>
        </is>
      </c>
      <c r="T1" s="5" t="inlineStr">
        <is>
          <t>Posto 16</t>
        </is>
      </c>
      <c r="U1" s="5" t="inlineStr">
        <is>
          <t>Posto 17</t>
        </is>
      </c>
      <c r="V1" s="5" t="inlineStr">
        <is>
          <t>Posto 18</t>
        </is>
      </c>
      <c r="W1" s="5" t="inlineStr">
        <is>
          <t>Posto 19</t>
        </is>
      </c>
      <c r="X1" s="5" t="inlineStr">
        <is>
          <t>Posto 20</t>
        </is>
      </c>
      <c r="Y1" s="5" t="inlineStr">
        <is>
          <t>Posto 21</t>
        </is>
      </c>
      <c r="Z1" s="5" t="inlineStr">
        <is>
          <t>Posto 22</t>
        </is>
      </c>
      <c r="AA1" s="5" t="inlineStr">
        <is>
          <t>Posto 23</t>
        </is>
      </c>
      <c r="AB1" s="5" t="inlineStr">
        <is>
          <t>Posto 24</t>
        </is>
      </c>
      <c r="AC1" s="2" t="inlineStr">
        <is>
          <t>Occupati</t>
        </is>
      </c>
      <c r="AD1" s="2" t="inlineStr">
        <is>
          <t>Controllo</t>
        </is>
      </c>
    </row>
    <row r="2">
      <c r="A2" s="9" t="n">
        <v>1</v>
      </c>
      <c r="B2" s="6" t="inlineStr">
        <is>
          <t>Sposi</t>
        </is>
      </c>
      <c r="C2" s="6" t="inlineStr">
        <is>
          <t>Tondo</t>
        </is>
      </c>
      <c r="D2" s="7" t="n">
        <v>10</v>
      </c>
      <c r="E2" s="6" t="inlineStr">
        <is>
          <t>Enrico Leone</t>
        </is>
      </c>
      <c r="F2" s="6" t="inlineStr">
        <is>
          <t>Chiara Lombardo</t>
        </is>
      </c>
      <c r="G2" s="6" t="inlineStr">
        <is>
          <t>Elena Romano</t>
        </is>
      </c>
      <c r="H2" s="6" t="inlineStr">
        <is>
          <t>Marco Caruso</t>
        </is>
      </c>
      <c r="I2" s="6" t="inlineStr">
        <is>
          <t>Alice Rinaldi</t>
        </is>
      </c>
      <c r="J2" s="6" t="inlineStr">
        <is>
          <t>Federica Costa</t>
        </is>
      </c>
      <c r="K2" s="6" t="inlineStr">
        <is>
          <t>Laura Longo</t>
        </is>
      </c>
      <c r="L2" s="6" t="inlineStr">
        <is>
          <t>Giulia Galli</t>
        </is>
      </c>
      <c r="M2" s="6" t="inlineStr">
        <is>
          <t>Daniele Caruso</t>
        </is>
      </c>
      <c r="N2" s="6" t="inlineStr">
        <is>
          <t>Simone Rossi</t>
        </is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7">
        <f>COUNTA(E2:AB2)</f>
        <v/>
      </c>
      <c r="AD2" s="6">
        <f>IF(AND(C2="",D2="",AC2=0),"",IF(OR(C2="",D2=""),"Indicare forma e posti",IF(AC2&gt;D2,"Troppi invitati",IF(AC2&lt;D2,"Posti liberi: "&amp;(D2-AC2),"OK"))))</f>
        <v/>
      </c>
    </row>
    <row r="3">
      <c r="A3" s="9" t="n">
        <v>2</v>
      </c>
      <c r="B3" s="6" t="inlineStr">
        <is>
          <t>Tavolo 2</t>
        </is>
      </c>
      <c r="C3" s="6" t="inlineStr">
        <is>
          <t>Tondo</t>
        </is>
      </c>
      <c r="D3" s="7" t="n">
        <v>11</v>
      </c>
      <c r="E3" s="6" t="inlineStr">
        <is>
          <t>Gabriele Rinaldi</t>
        </is>
      </c>
      <c r="F3" s="6" t="inlineStr">
        <is>
          <t>Andrea Greco</t>
        </is>
      </c>
      <c r="G3" s="6" t="inlineStr">
        <is>
          <t>Elena Vitale</t>
        </is>
      </c>
      <c r="H3" s="6" t="inlineStr">
        <is>
          <t>Giorgio Fontana</t>
        </is>
      </c>
      <c r="I3" s="6" t="inlineStr">
        <is>
          <t>Giorgio Gentile</t>
        </is>
      </c>
      <c r="J3" s="6" t="inlineStr">
        <is>
          <t>Beatrice Longo</t>
        </is>
      </c>
      <c r="K3" s="6" t="inlineStr">
        <is>
          <t>Paolo Conti</t>
        </is>
      </c>
      <c r="L3" s="6" t="inlineStr">
        <is>
          <t>Fabio Colombo</t>
        </is>
      </c>
      <c r="M3" s="6" t="inlineStr">
        <is>
          <t>Luca Marino</t>
        </is>
      </c>
      <c r="N3" s="6" t="inlineStr">
        <is>
          <t>Alessio Caruso</t>
        </is>
      </c>
      <c r="O3" s="6" t="inlineStr">
        <is>
          <t>Fabio Rizzo</t>
        </is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7">
        <f>COUNTA(E3:AB3)</f>
        <v/>
      </c>
      <c r="AD3" s="6">
        <f>IF(AND(C3="",D3="",AC3=0),"",IF(OR(C3="",D3=""),"Indicare forma e posti",IF(AC3&gt;D3,"Troppi invitati",IF(AC3&lt;D3,"Posti liberi: "&amp;(D3-AC3),"OK"))))</f>
        <v/>
      </c>
    </row>
    <row r="4">
      <c r="A4" s="9" t="n">
        <v>3</v>
      </c>
      <c r="B4" s="6" t="inlineStr">
        <is>
          <t>Tavolo 3</t>
        </is>
      </c>
      <c r="C4" s="6" t="inlineStr">
        <is>
          <t>Tondo</t>
        </is>
      </c>
      <c r="D4" s="7" t="n">
        <v>9</v>
      </c>
      <c r="E4" s="6" t="inlineStr">
        <is>
          <t>Francesca Martinelli</t>
        </is>
      </c>
      <c r="F4" s="6" t="inlineStr">
        <is>
          <t>Beatrice Rinaldi</t>
        </is>
      </c>
      <c r="G4" s="6" t="inlineStr">
        <is>
          <t>Fabio Vitale</t>
        </is>
      </c>
      <c r="H4" s="6" t="inlineStr">
        <is>
          <t>Beatrice Luca</t>
        </is>
      </c>
      <c r="I4" s="6" t="inlineStr">
        <is>
          <t>Elena Martini</t>
        </is>
      </c>
      <c r="J4" s="6" t="inlineStr">
        <is>
          <t>Beatrice Greco</t>
        </is>
      </c>
      <c r="K4" s="6" t="inlineStr">
        <is>
          <t>Giulia Lombardi</t>
        </is>
      </c>
      <c r="L4" s="6" t="inlineStr">
        <is>
          <t>Simone Lombardo</t>
        </is>
      </c>
      <c r="M4" s="6" t="inlineStr">
        <is>
          <t>Davide Mancini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7">
        <f>COUNTA(E4:AB4)</f>
        <v/>
      </c>
      <c r="AD4" s="6">
        <f>IF(AND(C4="",D4="",AC4=0),"",IF(OR(C4="",D4=""),"Indicare forma e posti",IF(AC4&gt;D4,"Troppi invitati",IF(AC4&lt;D4,"Posti liberi: "&amp;(D4-AC4),"OK"))))</f>
        <v/>
      </c>
    </row>
    <row r="5">
      <c r="A5" s="9" t="n">
        <v>4</v>
      </c>
      <c r="B5" s="6" t="inlineStr">
        <is>
          <t>Tavolo 4</t>
        </is>
      </c>
      <c r="C5" s="6" t="inlineStr">
        <is>
          <t>Tondo</t>
        </is>
      </c>
      <c r="D5" s="7" t="n">
        <v>10</v>
      </c>
      <c r="E5" s="6" t="inlineStr">
        <is>
          <t>Marta Giordano</t>
        </is>
      </c>
      <c r="F5" s="6" t="inlineStr">
        <is>
          <t>Simone Giordano</t>
        </is>
      </c>
      <c r="G5" s="6" t="inlineStr">
        <is>
          <t>Alessio Rizzo</t>
        </is>
      </c>
      <c r="H5" s="6" t="inlineStr">
        <is>
          <t>Luca De</t>
        </is>
      </c>
      <c r="I5" s="6" t="inlineStr">
        <is>
          <t>Francesca Rossi</t>
        </is>
      </c>
      <c r="J5" s="6" t="inlineStr">
        <is>
          <t>Nicola Coppola</t>
        </is>
      </c>
      <c r="K5" s="6" t="inlineStr">
        <is>
          <t>Martina Caruso</t>
        </is>
      </c>
      <c r="L5" s="6" t="inlineStr">
        <is>
          <t>Stefano De</t>
        </is>
      </c>
      <c r="M5" s="6" t="inlineStr">
        <is>
          <t>Alessio Longo</t>
        </is>
      </c>
      <c r="N5" s="6" t="inlineStr">
        <is>
          <t>Giorgio Giordano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7">
        <f>COUNTA(E5:AB5)</f>
        <v/>
      </c>
      <c r="AD5" s="6">
        <f>IF(AND(C5="",D5="",AC5=0),"",IF(OR(C5="",D5=""),"Indicare forma e posti",IF(AC5&gt;D5,"Troppi invitati",IF(AC5&lt;D5,"Posti liberi: "&amp;(D5-AC5),"OK"))))</f>
        <v/>
      </c>
    </row>
    <row r="6">
      <c r="A6" s="9" t="n">
        <v>5</v>
      </c>
      <c r="B6" s="6" t="inlineStr">
        <is>
          <t>Tavolo 5</t>
        </is>
      </c>
      <c r="C6" s="6" t="inlineStr">
        <is>
          <t>Tondo</t>
        </is>
      </c>
      <c r="D6" s="7" t="n">
        <v>11</v>
      </c>
      <c r="E6" s="6" t="inlineStr">
        <is>
          <t>Chiara Romano</t>
        </is>
      </c>
      <c r="F6" s="6" t="inlineStr">
        <is>
          <t>Stefano Moretti</t>
        </is>
      </c>
      <c r="G6" s="6" t="inlineStr">
        <is>
          <t>Beatrice De</t>
        </is>
      </c>
      <c r="H6" s="6" t="inlineStr">
        <is>
          <t>Silvia Martinelli</t>
        </is>
      </c>
      <c r="I6" s="6" t="inlineStr">
        <is>
          <t>Gabriele Giordano</t>
        </is>
      </c>
      <c r="J6" s="6" t="inlineStr">
        <is>
          <t>Andrea Galli</t>
        </is>
      </c>
      <c r="K6" s="6" t="inlineStr">
        <is>
          <t>Alice Romano</t>
        </is>
      </c>
      <c r="L6" s="6" t="inlineStr">
        <is>
          <t>Valentina De</t>
        </is>
      </c>
      <c r="M6" s="6" t="inlineStr">
        <is>
          <t>Elena Gallo</t>
        </is>
      </c>
      <c r="N6" s="6" t="inlineStr">
        <is>
          <t>Marco Leone</t>
        </is>
      </c>
      <c r="O6" s="6" t="inlineStr">
        <is>
          <t>Matteo Barbieri</t>
        </is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7">
        <f>COUNTA(E6:AB6)</f>
        <v/>
      </c>
      <c r="AD6" s="6">
        <f>IF(AND(C6="",D6="",AC6=0),"",IF(OR(C6="",D6=""),"Indicare forma e posti",IF(AC6&gt;D6,"Troppi invitati",IF(AC6&lt;D6,"Posti liberi: "&amp;(D6-AC6),"OK"))))</f>
        <v/>
      </c>
    </row>
    <row r="7">
      <c r="A7" s="9" t="n">
        <v>6</v>
      </c>
      <c r="B7" s="6" t="inlineStr">
        <is>
          <t>Tavolo 6</t>
        </is>
      </c>
      <c r="C7" s="6" t="inlineStr">
        <is>
          <t>Tondo</t>
        </is>
      </c>
      <c r="D7" s="7" t="n">
        <v>10</v>
      </c>
      <c r="E7" s="6" t="inlineStr">
        <is>
          <t>Elisa Rizzo</t>
        </is>
      </c>
      <c r="F7" s="6" t="inlineStr">
        <is>
          <t>Giulia Martini</t>
        </is>
      </c>
      <c r="G7" s="6" t="inlineStr">
        <is>
          <t>Chiara Costa</t>
        </is>
      </c>
      <c r="H7" s="6" t="inlineStr">
        <is>
          <t>Laura Gallo</t>
        </is>
      </c>
      <c r="I7" s="6" t="inlineStr">
        <is>
          <t>Paolo Rizzo</t>
        </is>
      </c>
      <c r="J7" s="6" t="inlineStr">
        <is>
          <t>Davide De</t>
        </is>
      </c>
      <c r="K7" s="6" t="inlineStr">
        <is>
          <t>Marco Fontana</t>
        </is>
      </c>
      <c r="L7" s="6" t="inlineStr">
        <is>
          <t>Alice Giordano</t>
        </is>
      </c>
      <c r="M7" s="6" t="inlineStr">
        <is>
          <t>Nicola Moretti</t>
        </is>
      </c>
      <c r="N7" s="6" t="inlineStr">
        <is>
          <t>Paolo Leone</t>
        </is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7">
        <f>COUNTA(E7:AB7)</f>
        <v/>
      </c>
      <c r="AD7" s="6">
        <f>IF(AND(C7="",D7="",AC7=0),"",IF(OR(C7="",D7=""),"Indicare forma e posti",IF(AC7&gt;D7,"Troppi invitati",IF(AC7&lt;D7,"Posti liberi: "&amp;(D7-AC7),"OK"))))</f>
        <v/>
      </c>
    </row>
    <row r="8">
      <c r="A8" s="9" t="n">
        <v>7</v>
      </c>
      <c r="B8" s="6" t="inlineStr">
        <is>
          <t>Tavolo 7</t>
        </is>
      </c>
      <c r="C8" s="6" t="inlineStr">
        <is>
          <t>Tondo</t>
        </is>
      </c>
      <c r="D8" s="7" t="n">
        <v>11</v>
      </c>
      <c r="E8" s="6" t="inlineStr">
        <is>
          <t>Martina De</t>
        </is>
      </c>
      <c r="F8" s="6" t="inlineStr">
        <is>
          <t>Fabio Giordano</t>
        </is>
      </c>
      <c r="G8" s="6" t="inlineStr">
        <is>
          <t>Matteo Ferrari</t>
        </is>
      </c>
      <c r="H8" s="6" t="inlineStr">
        <is>
          <t>Alessio Rossi</t>
        </is>
      </c>
      <c r="I8" s="6" t="inlineStr">
        <is>
          <t>Chiara Ferrara</t>
        </is>
      </c>
      <c r="J8" s="6" t="inlineStr">
        <is>
          <t>Paola Marino</t>
        </is>
      </c>
      <c r="K8" s="6" t="inlineStr">
        <is>
          <t>Giorgio Russo</t>
        </is>
      </c>
      <c r="L8" s="6" t="inlineStr">
        <is>
          <t>Riccardo Martinelli</t>
        </is>
      </c>
      <c r="M8" s="6" t="inlineStr">
        <is>
          <t>Laura Vitale</t>
        </is>
      </c>
      <c r="N8" s="6" t="inlineStr">
        <is>
          <t>Daniele Gallo</t>
        </is>
      </c>
      <c r="O8" s="6" t="inlineStr">
        <is>
          <t>Davide Rinaldi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7">
        <f>COUNTA(E8:AB8)</f>
        <v/>
      </c>
      <c r="AD8" s="6">
        <f>IF(AND(C8="",D8="",AC8=0),"",IF(OR(C8="",D8=""),"Indicare forma e posti",IF(AC8&gt;D8,"Troppi invitati",IF(AC8&lt;D8,"Posti liberi: "&amp;(D8-AC8),"OK"))))</f>
        <v/>
      </c>
    </row>
    <row r="9">
      <c r="A9" s="9" t="n">
        <v>8</v>
      </c>
      <c r="B9" s="6" t="inlineStr">
        <is>
          <t>Tavolo 8</t>
        </is>
      </c>
      <c r="C9" s="6" t="inlineStr">
        <is>
          <t>Tondo</t>
        </is>
      </c>
      <c r="D9" s="7" t="n">
        <v>9</v>
      </c>
      <c r="E9" s="6" t="inlineStr">
        <is>
          <t>Valentina Santoro</t>
        </is>
      </c>
      <c r="F9" s="6" t="inlineStr">
        <is>
          <t>Silvia Barbieri</t>
        </is>
      </c>
      <c r="G9" s="6" t="inlineStr">
        <is>
          <t>Fabio Luca</t>
        </is>
      </c>
      <c r="H9" s="6" t="inlineStr">
        <is>
          <t>Fabio Bianchi</t>
        </is>
      </c>
      <c r="I9" s="6" t="inlineStr">
        <is>
          <t>Elena Martinelli</t>
        </is>
      </c>
      <c r="J9" s="6" t="inlineStr">
        <is>
          <t>Matteo De</t>
        </is>
      </c>
      <c r="K9" s="6" t="inlineStr">
        <is>
          <t>Paolo Ricci</t>
        </is>
      </c>
      <c r="L9" s="6" t="inlineStr">
        <is>
          <t>Paolo Colombo</t>
        </is>
      </c>
      <c r="M9" s="6" t="inlineStr">
        <is>
          <t>Marta Coppola</t>
        </is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7">
        <f>COUNTA(E9:AB9)</f>
        <v/>
      </c>
      <c r="AD9" s="6">
        <f>IF(AND(C9="",D9="",AC9=0),"",IF(OR(C9="",D9=""),"Indicare forma e posti",IF(AC9&gt;D9,"Troppi invitati",IF(AC9&lt;D9,"Posti liberi: "&amp;(D9-AC9),"OK"))))</f>
        <v/>
      </c>
    </row>
    <row r="10">
      <c r="A10" s="9" t="n">
        <v>9</v>
      </c>
      <c r="B10" s="6" t="inlineStr">
        <is>
          <t>Tavolo 9</t>
        </is>
      </c>
      <c r="C10" s="6" t="inlineStr">
        <is>
          <t>Tondo</t>
        </is>
      </c>
      <c r="D10" s="7" t="n">
        <v>10</v>
      </c>
      <c r="E10" s="6" t="inlineStr">
        <is>
          <t>Alessio Lombardi</t>
        </is>
      </c>
      <c r="F10" s="6" t="inlineStr">
        <is>
          <t>Enrico Rinaldi</t>
        </is>
      </c>
      <c r="G10" s="6" t="inlineStr">
        <is>
          <t>Marta Lombardi</t>
        </is>
      </c>
      <c r="H10" s="6" t="inlineStr">
        <is>
          <t>Nicola Ferrari</t>
        </is>
      </c>
      <c r="I10" s="6" t="inlineStr">
        <is>
          <t>Alice Colombo</t>
        </is>
      </c>
      <c r="J10" s="6" t="inlineStr">
        <is>
          <t>Alice Vitale</t>
        </is>
      </c>
      <c r="K10" s="6" t="inlineStr">
        <is>
          <t>Simone Conti</t>
        </is>
      </c>
      <c r="L10" s="6" t="inlineStr">
        <is>
          <t>Giulia Serra</t>
        </is>
      </c>
      <c r="M10" s="6" t="inlineStr">
        <is>
          <t>Alessio Santoro</t>
        </is>
      </c>
      <c r="N10" s="6" t="inlineStr">
        <is>
          <t>Fabio Caruso</t>
        </is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7">
        <f>COUNTA(E10:AB10)</f>
        <v/>
      </c>
      <c r="AD10" s="6">
        <f>IF(AND(C10="",D10="",AC10=0),"",IF(OR(C10="",D10=""),"Indicare forma e posti",IF(AC10&gt;D10,"Troppi invitati",IF(AC10&lt;D10,"Posti liberi: "&amp;(D10-AC10),"OK"))))</f>
        <v/>
      </c>
    </row>
    <row r="11">
      <c r="A11" s="9" t="n">
        <v>10</v>
      </c>
      <c r="B11" s="6" t="inlineStr">
        <is>
          <t>Tavolo 10</t>
        </is>
      </c>
      <c r="C11" s="6" t="inlineStr">
        <is>
          <t>Tondo</t>
        </is>
      </c>
      <c r="D11" s="7" t="n">
        <v>9</v>
      </c>
      <c r="E11" s="6" t="inlineStr">
        <is>
          <t>Fabio Gallo</t>
        </is>
      </c>
      <c r="F11" s="6" t="inlineStr">
        <is>
          <t>Giulia Santoro</t>
        </is>
      </c>
      <c r="G11" s="6" t="inlineStr">
        <is>
          <t>Giorgio Bianchi</t>
        </is>
      </c>
      <c r="H11" s="6" t="inlineStr">
        <is>
          <t>Silvia Mancini</t>
        </is>
      </c>
      <c r="I11" s="6" t="inlineStr">
        <is>
          <t>Davide Giordano</t>
        </is>
      </c>
      <c r="J11" s="6" t="inlineStr">
        <is>
          <t>Valentina Moretti</t>
        </is>
      </c>
      <c r="K11" s="6" t="inlineStr">
        <is>
          <t>Elisa Greco</t>
        </is>
      </c>
      <c r="L11" s="6" t="inlineStr">
        <is>
          <t>Sara Luca</t>
        </is>
      </c>
      <c r="M11" s="6" t="inlineStr">
        <is>
          <t>Giorgio Gallo</t>
        </is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7">
        <f>COUNTA(E11:AB11)</f>
        <v/>
      </c>
      <c r="AD11" s="6">
        <f>IF(AND(C11="",D11="",AC11=0),"",IF(OR(C11="",D11=""),"Indicare forma e posti",IF(AC11&gt;D11,"Troppi invitati",IF(AC11&lt;D11,"Posti liberi: "&amp;(D11-AC11),"OK"))))</f>
        <v/>
      </c>
    </row>
    <row r="12">
      <c r="A12" s="9" t="n">
        <v>11</v>
      </c>
      <c r="B12" s="6" t="inlineStr">
        <is>
          <t>Tavolo 11</t>
        </is>
      </c>
      <c r="C12" s="6" t="inlineStr">
        <is>
          <t>Tondo</t>
        </is>
      </c>
      <c r="D12" s="7" t="n">
        <v>10</v>
      </c>
      <c r="E12" s="6" t="inlineStr">
        <is>
          <t>Riccardo Romano</t>
        </is>
      </c>
      <c r="F12" s="6" t="inlineStr">
        <is>
          <t>Beatrice Bianchi</t>
        </is>
      </c>
      <c r="G12" s="6" t="inlineStr">
        <is>
          <t>Laura Leone</t>
        </is>
      </c>
      <c r="H12" s="6" t="inlineStr">
        <is>
          <t>Paolo Vitale</t>
        </is>
      </c>
      <c r="I12" s="6" t="inlineStr">
        <is>
          <t>Gabriele Colombo</t>
        </is>
      </c>
      <c r="J12" s="6" t="inlineStr">
        <is>
          <t>Enrico Serra</t>
        </is>
      </c>
      <c r="K12" s="6" t="inlineStr">
        <is>
          <t>Luca Longo</t>
        </is>
      </c>
      <c r="L12" s="6" t="inlineStr">
        <is>
          <t>Irene Mancini</t>
        </is>
      </c>
      <c r="M12" s="6" t="inlineStr">
        <is>
          <t>Enrico Fontana</t>
        </is>
      </c>
      <c r="N12" s="6" t="inlineStr">
        <is>
          <t>Matteo Leone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7">
        <f>COUNTA(E12:AB12)</f>
        <v/>
      </c>
      <c r="AD12" s="6">
        <f>IF(AND(C12="",D12="",AC12=0),"",IF(OR(C12="",D12=""),"Indicare forma e posti",IF(AC12&gt;D12,"Troppi invitati",IF(AC12&lt;D12,"Posti liberi: "&amp;(D12-AC12),"OK"))))</f>
        <v/>
      </c>
    </row>
    <row r="13">
      <c r="A13" s="9" t="n">
        <v>12</v>
      </c>
      <c r="B13" s="6" t="inlineStr">
        <is>
          <t>Imperiale</t>
        </is>
      </c>
      <c r="C13" s="6" t="inlineStr">
        <is>
          <t>Rettangolare</t>
        </is>
      </c>
      <c r="D13" s="7" t="n">
        <v>5</v>
      </c>
      <c r="E13" s="6" t="inlineStr">
        <is>
          <t>Sara Gentile</t>
        </is>
      </c>
      <c r="F13" s="6" t="inlineStr">
        <is>
          <t>Chiara De</t>
        </is>
      </c>
      <c r="G13" s="6" t="inlineStr">
        <is>
          <t>Paolo Luca</t>
        </is>
      </c>
      <c r="H13" s="6" t="inlineStr">
        <is>
          <t>Simone Serra</t>
        </is>
      </c>
      <c r="I13" s="6" t="inlineStr">
        <is>
          <t>Daniele Giordano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7">
        <f>COUNTA(E13:AB13)</f>
        <v/>
      </c>
      <c r="AD13" s="6">
        <f>IF(AND(C13="",D13="",AC13=0),"",IF(OR(C13="",D13=""),"Indicare forma e posti",IF(AC13&gt;D13,"Troppi invitati",IF(AC13&lt;D13,"Posti liberi: "&amp;(D13-AC13),"OK"))))</f>
        <v/>
      </c>
    </row>
    <row r="14">
      <c r="A14" s="9" t="n">
        <v>13</v>
      </c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7">
        <f>COUNTA(E14:AB14)</f>
        <v/>
      </c>
      <c r="AD14" s="6">
        <f>IF(AND(C14="",D14="",AC14=0),"",IF(OR(C14="",D14=""),"Indicare forma e posti",IF(AC14&gt;D14,"Troppi invitati",IF(AC14&lt;D14,"Posti liberi: "&amp;(D14-AC14),"OK"))))</f>
        <v/>
      </c>
    </row>
    <row r="15">
      <c r="A15" s="9" t="n">
        <v>14</v>
      </c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7">
        <f>COUNTA(E15:AB15)</f>
        <v/>
      </c>
      <c r="AD15" s="6">
        <f>IF(AND(C15="",D15="",AC15=0),"",IF(OR(C15="",D15=""),"Indicare forma e posti",IF(AC15&gt;D15,"Troppi invitati",IF(AC15&lt;D15,"Posti liberi: "&amp;(D15-AC15),"OK"))))</f>
        <v/>
      </c>
    </row>
    <row r="16">
      <c r="A16" s="9" t="n">
        <v>15</v>
      </c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7">
        <f>COUNTA(E16:AB16)</f>
        <v/>
      </c>
      <c r="AD16" s="6">
        <f>IF(AND(C16="",D16="",AC16=0),"",IF(OR(C16="",D16=""),"Indicare forma e posti",IF(AC16&gt;D16,"Troppi invitati",IF(AC16&lt;D16,"Posti liberi: "&amp;(D16-AC16),"OK"))))</f>
        <v/>
      </c>
    </row>
    <row r="17">
      <c r="A17" s="9" t="n">
        <v>16</v>
      </c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7">
        <f>COUNTA(E17:AB17)</f>
        <v/>
      </c>
      <c r="AD17" s="6">
        <f>IF(AND(C17="",D17="",AC17=0),"",IF(OR(C17="",D17=""),"Indicare forma e posti",IF(AC17&gt;D17,"Troppi invitati",IF(AC17&lt;D17,"Posti liberi: "&amp;(D17-AC17),"OK"))))</f>
        <v/>
      </c>
    </row>
    <row r="18">
      <c r="A18" s="9" t="n">
        <v>17</v>
      </c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7">
        <f>COUNTA(E18:AB18)</f>
        <v/>
      </c>
      <c r="AD18" s="6">
        <f>IF(AND(C18="",D18="",AC18=0),"",IF(OR(C18="",D18=""),"Indicare forma e posti",IF(AC18&gt;D18,"Troppi invitati",IF(AC18&lt;D18,"Posti liberi: "&amp;(D18-AC18),"OK"))))</f>
        <v/>
      </c>
    </row>
    <row r="19">
      <c r="A19" s="9" t="n">
        <v>18</v>
      </c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7">
        <f>COUNTA(E19:AB19)</f>
        <v/>
      </c>
      <c r="AD19" s="6">
        <f>IF(AND(C19="",D19="",AC19=0),"",IF(OR(C19="",D19=""),"Indicare forma e posti",IF(AC19&gt;D19,"Troppi invitati",IF(AC19&lt;D19,"Posti liberi: "&amp;(D19-AC19),"OK"))))</f>
        <v/>
      </c>
    </row>
    <row r="20">
      <c r="A20" s="9" t="n">
        <v>19</v>
      </c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7">
        <f>COUNTA(E20:AB20)</f>
        <v/>
      </c>
      <c r="AD20" s="6">
        <f>IF(AND(C20="",D20="",AC20=0),"",IF(OR(C20="",D20=""),"Indicare forma e posti",IF(AC20&gt;D20,"Troppi invitati",IF(AC20&lt;D20,"Posti liberi: "&amp;(D20-AC20),"OK"))))</f>
        <v/>
      </c>
    </row>
    <row r="21">
      <c r="A21" s="9" t="n">
        <v>20</v>
      </c>
      <c r="B21" s="6" t="n"/>
      <c r="C21" s="6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7">
        <f>COUNTA(E21:AB21)</f>
        <v/>
      </c>
      <c r="AD21" s="6">
        <f>IF(AND(C21="",D21="",AC21=0),"",IF(OR(C21="",D21=""),"Indicare forma e posti",IF(AC21&gt;D21,"Troppi invitati",IF(AC21&lt;D21,"Posti liberi: "&amp;(D21-AC21),"OK"))))</f>
        <v/>
      </c>
    </row>
    <row r="22">
      <c r="A22" s="9" t="n">
        <v>21</v>
      </c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7">
        <f>COUNTA(E22:AB22)</f>
        <v/>
      </c>
      <c r="AD22" s="6">
        <f>IF(AND(C22="",D22="",AC22=0),"",IF(OR(C22="",D22=""),"Indicare forma e posti",IF(AC22&gt;D22,"Troppi invitati",IF(AC22&lt;D22,"Posti liberi: "&amp;(D22-AC22),"OK"))))</f>
        <v/>
      </c>
    </row>
    <row r="23">
      <c r="A23" s="9" t="n">
        <v>22</v>
      </c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7">
        <f>COUNTA(E23:AB23)</f>
        <v/>
      </c>
      <c r="AD23" s="6">
        <f>IF(AND(C23="",D23="",AC23=0),"",IF(OR(C23="",D23=""),"Indicare forma e posti",IF(AC23&gt;D23,"Troppi invitati",IF(AC23&lt;D23,"Posti liberi: "&amp;(D23-AC23),"OK"))))</f>
        <v/>
      </c>
    </row>
    <row r="24">
      <c r="A24" s="9" t="n">
        <v>23</v>
      </c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7">
        <f>COUNTA(E24:AB24)</f>
        <v/>
      </c>
      <c r="AD24" s="6">
        <f>IF(AND(C24="",D24="",AC24=0),"",IF(OR(C24="",D24=""),"Indicare forma e posti",IF(AC24&gt;D24,"Troppi invitati",IF(AC24&lt;D24,"Posti liberi: "&amp;(D24-AC24),"OK"))))</f>
        <v/>
      </c>
    </row>
    <row r="25">
      <c r="A25" s="9" t="n">
        <v>24</v>
      </c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7">
        <f>COUNTA(E25:AB25)</f>
        <v/>
      </c>
      <c r="AD25" s="6">
        <f>IF(AND(C25="",D25="",AC25=0),"",IF(OR(C25="",D25=""),"Indicare forma e posti",IF(AC25&gt;D25,"Troppi invitati",IF(AC25&lt;D25,"Posti liberi: "&amp;(D25-AC25),"OK"))))</f>
        <v/>
      </c>
    </row>
    <row r="26">
      <c r="A26" s="9" t="n">
        <v>25</v>
      </c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7">
        <f>COUNTA(E26:AB26)</f>
        <v/>
      </c>
      <c r="AD26" s="6">
        <f>IF(AND(C26="",D26="",AC26=0),"",IF(OR(C26="",D26=""),"Indicare forma e posti",IF(AC26&gt;D26,"Troppi invitati",IF(AC26&lt;D26,"Posti liberi: "&amp;(D26-AC26),"OK"))))</f>
        <v/>
      </c>
    </row>
    <row r="27">
      <c r="A27" s="9" t="n">
        <v>26</v>
      </c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7">
        <f>COUNTA(E27:AB27)</f>
        <v/>
      </c>
      <c r="AD27" s="6">
        <f>IF(AND(C27="",D27="",AC27=0),"",IF(OR(C27="",D27=""),"Indicare forma e posti",IF(AC27&gt;D27,"Troppi invitati",IF(AC27&lt;D27,"Posti liberi: "&amp;(D27-AC27),"OK"))))</f>
        <v/>
      </c>
    </row>
    <row r="28">
      <c r="A28" s="9" t="n">
        <v>27</v>
      </c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7">
        <f>COUNTA(E28:AB28)</f>
        <v/>
      </c>
      <c r="AD28" s="6">
        <f>IF(AND(C28="",D28="",AC28=0),"",IF(OR(C28="",D28=""),"Indicare forma e posti",IF(AC28&gt;D28,"Troppi invitati",IF(AC28&lt;D28,"Posti liberi: "&amp;(D28-AC28),"OK"))))</f>
        <v/>
      </c>
    </row>
    <row r="29">
      <c r="A29" s="9" t="n">
        <v>28</v>
      </c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7">
        <f>COUNTA(E29:AB29)</f>
        <v/>
      </c>
      <c r="AD29" s="6">
        <f>IF(AND(C29="",D29="",AC29=0),"",IF(OR(C29="",D29=""),"Indicare forma e posti",IF(AC29&gt;D29,"Troppi invitati",IF(AC29&lt;D29,"Posti liberi: "&amp;(D29-AC29),"OK"))))</f>
        <v/>
      </c>
    </row>
    <row r="30">
      <c r="A30" s="9" t="n">
        <v>29</v>
      </c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7">
        <f>COUNTA(E30:AB30)</f>
        <v/>
      </c>
      <c r="AD30" s="6">
        <f>IF(AND(C30="",D30="",AC30=0),"",IF(OR(C30="",D30=""),"Indicare forma e posti",IF(AC30&gt;D30,"Troppi invitati",IF(AC30&lt;D30,"Posti liberi: "&amp;(D30-AC30),"OK"))))</f>
        <v/>
      </c>
    </row>
    <row r="31">
      <c r="A31" s="9" t="n">
        <v>30</v>
      </c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7">
        <f>COUNTA(E31:AB31)</f>
        <v/>
      </c>
      <c r="AD31" s="6">
        <f>IF(AND(C31="",D31="",AC31=0),"",IF(OR(C31="",D31=""),"Indicare forma e posti",IF(AC31&gt;D31,"Troppi invitati",IF(AC31&lt;D31,"Posti liberi: "&amp;(D31-AC31),"OK"))))</f>
        <v/>
      </c>
    </row>
    <row r="32">
      <c r="A32" s="9" t="n">
        <v>31</v>
      </c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7">
        <f>COUNTA(E32:AB32)</f>
        <v/>
      </c>
      <c r="AD32" s="6">
        <f>IF(AND(C32="",D32="",AC32=0),"",IF(OR(C32="",D32=""),"Indicare forma e posti",IF(AC32&gt;D32,"Troppi invitati",IF(AC32&lt;D32,"Posti liberi: "&amp;(D32-AC32),"OK"))))</f>
        <v/>
      </c>
    </row>
    <row r="33">
      <c r="A33" s="9" t="n">
        <v>32</v>
      </c>
      <c r="B33" s="6" t="n"/>
      <c r="C33" s="6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7">
        <f>COUNTA(E33:AB33)</f>
        <v/>
      </c>
      <c r="AD33" s="6">
        <f>IF(AND(C33="",D33="",AC33=0),"",IF(OR(C33="",D33=""),"Indicare forma e posti",IF(AC33&gt;D33,"Troppi invitati",IF(AC33&lt;D33,"Posti liberi: "&amp;(D33-AC33),"OK"))))</f>
        <v/>
      </c>
    </row>
    <row r="34">
      <c r="A34" s="9" t="n">
        <v>33</v>
      </c>
      <c r="B34" s="6" t="n"/>
      <c r="C34" s="6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7">
        <f>COUNTA(E34:AB34)</f>
        <v/>
      </c>
      <c r="AD34" s="6">
        <f>IF(AND(C34="",D34="",AC34=0),"",IF(OR(C34="",D34=""),"Indicare forma e posti",IF(AC34&gt;D34,"Troppi invitati",IF(AC34&lt;D34,"Posti liberi: "&amp;(D34-AC34),"OK"))))</f>
        <v/>
      </c>
    </row>
    <row r="35">
      <c r="A35" s="9" t="n">
        <v>34</v>
      </c>
      <c r="B35" s="6" t="n"/>
      <c r="C35" s="6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7">
        <f>COUNTA(E35:AB35)</f>
        <v/>
      </c>
      <c r="AD35" s="6">
        <f>IF(AND(C35="",D35="",AC35=0),"",IF(OR(C35="",D35=""),"Indicare forma e posti",IF(AC35&gt;D35,"Troppi invitati",IF(AC35&lt;D35,"Posti liberi: "&amp;(D35-AC35),"OK"))))</f>
        <v/>
      </c>
    </row>
    <row r="36">
      <c r="A36" s="9" t="n">
        <v>35</v>
      </c>
      <c r="B36" s="6" t="n"/>
      <c r="C36" s="6" t="n"/>
      <c r="D36" s="7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7">
        <f>COUNTA(E36:AB36)</f>
        <v/>
      </c>
      <c r="AD36" s="6">
        <f>IF(AND(C36="",D36="",AC36=0),"",IF(OR(C36="",D36=""),"Indicare forma e posti",IF(AC36&gt;D36,"Troppi invitati",IF(AC36&lt;D36,"Posti liberi: "&amp;(D36-AC36),"OK"))))</f>
        <v/>
      </c>
    </row>
    <row r="37">
      <c r="A37" s="9" t="n">
        <v>36</v>
      </c>
      <c r="B37" s="6" t="n"/>
      <c r="C37" s="6" t="n"/>
      <c r="D37" s="7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7">
        <f>COUNTA(E37:AB37)</f>
        <v/>
      </c>
      <c r="AD37" s="6">
        <f>IF(AND(C37="",D37="",AC37=0),"",IF(OR(C37="",D37=""),"Indicare forma e posti",IF(AC37&gt;D37,"Troppi invitati",IF(AC37&lt;D37,"Posti liberi: "&amp;(D37-AC37),"OK"))))</f>
        <v/>
      </c>
    </row>
    <row r="38">
      <c r="A38" s="9" t="n">
        <v>37</v>
      </c>
      <c r="B38" s="6" t="n"/>
      <c r="C38" s="6" t="n"/>
      <c r="D38" s="7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7">
        <f>COUNTA(E38:AB38)</f>
        <v/>
      </c>
      <c r="AD38" s="6">
        <f>IF(AND(C38="",D38="",AC38=0),"",IF(OR(C38="",D38=""),"Indicare forma e posti",IF(AC38&gt;D38,"Troppi invitati",IF(AC38&lt;D38,"Posti liberi: "&amp;(D38-AC38),"OK"))))</f>
        <v/>
      </c>
    </row>
    <row r="39">
      <c r="A39" s="9" t="n">
        <v>38</v>
      </c>
      <c r="B39" s="6" t="n"/>
      <c r="C39" s="6" t="n"/>
      <c r="D39" s="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7">
        <f>COUNTA(E39:AB39)</f>
        <v/>
      </c>
      <c r="AD39" s="6">
        <f>IF(AND(C39="",D39="",AC39=0),"",IF(OR(C39="",D39=""),"Indicare forma e posti",IF(AC39&gt;D39,"Troppi invitati",IF(AC39&lt;D39,"Posti liberi: "&amp;(D39-AC39),"OK"))))</f>
        <v/>
      </c>
    </row>
    <row r="40">
      <c r="A40" s="9" t="n">
        <v>39</v>
      </c>
      <c r="B40" s="6" t="n"/>
      <c r="C40" s="6" t="n"/>
      <c r="D40" s="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7">
        <f>COUNTA(E40:AB40)</f>
        <v/>
      </c>
      <c r="AD40" s="6">
        <f>IF(AND(C40="",D40="",AC40=0),"",IF(OR(C40="",D40=""),"Indicare forma e posti",IF(AC40&gt;D40,"Troppi invitati",IF(AC40&lt;D40,"Posti liberi: "&amp;(D40-AC40),"OK"))))</f>
        <v/>
      </c>
    </row>
    <row r="41">
      <c r="A41" s="9" t="n">
        <v>40</v>
      </c>
      <c r="B41" s="6" t="n"/>
      <c r="C41" s="6" t="n"/>
      <c r="D41" s="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7">
        <f>COUNTA(E41:AB41)</f>
        <v/>
      </c>
      <c r="AD41" s="6">
        <f>IF(AND(C41="",D41="",AC41=0),"",IF(OR(C41="",D41=""),"Indicare forma e posti",IF(AC41&gt;D41,"Troppi invitati",IF(AC41&lt;D41,"Posti liberi: "&amp;(D41-AC41),"OK"))))</f>
        <v/>
      </c>
    </row>
  </sheetData>
  <conditionalFormatting sqref="E2:AB41">
    <cfRule type="expression" priority="1" dxfId="2">
      <formula>AND(E2&lt;&gt;"",COUNTIF($E$2:$AB$41,E2)&gt;1)</formula>
    </cfRule>
    <cfRule type="expression" priority="2" dxfId="4">
      <formula>AND($D2&lt;&gt;"",COLUMN()-4&gt;$D2)</formula>
    </cfRule>
  </conditionalFormatting>
  <conditionalFormatting sqref="AD2:AD41">
    <cfRule type="expression" priority="3" dxfId="5">
      <formula>AD2="OK"</formula>
    </cfRule>
    <cfRule type="expression" priority="4" dxfId="2">
      <formula>ISNUMBER(SEARCH("Troppi",AD2))</formula>
    </cfRule>
  </conditionalFormatting>
  <dataValidations count="3">
    <dataValidation sqref="C2:C41" showDropDown="0" showInputMessage="1" showErrorMessage="0" allowBlank="1" promptTitle="Forma" prompt="Scegli tavolo Tondo o Rettangolare (imperiale)" type="list">
      <formula1>"Tondo,Rettangolare"</formula1>
    </dataValidation>
    <dataValidation sqref="D2:D41" showDropDown="0" showInputMessage="0" showErrorMessage="0" allowBlank="1" errorTitle="N. posti" error="Inserisci un numero da 1 a 24" type="whole" operator="between">
      <formula1>1</formula1>
      <formula2>24</formula2>
    </dataValidation>
    <dataValidation sqref="E2:AB41" showDropDown="0" showInputMessage="0" showErrorMessage="1" allowBlank="1" errorTitle="Invitato non trovato" error="Scegli un nome dall'elenco (deve prima essere inserito nel foglio Invitati)." type="list">
      <formula1>=Invitati!$AA$2:$AA$301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383"/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0" t="inlineStr">
        <is>
          <t>L A   S T E L L A</t>
        </is>
      </c>
    </row>
    <row r="3">
      <c r="B3" s="11" t="inlineStr">
        <is>
          <t>N E W   C O N C E P T   B A N Q U E T I N G</t>
        </is>
      </c>
    </row>
    <row r="5">
      <c r="B5" s="12" t="inlineStr">
        <is>
          <t>Elenco invitati e disposizione ai tavoli</t>
        </is>
      </c>
    </row>
    <row r="7" ht="30" customHeight="1">
      <c r="B7" s="13" t="inlineStr">
        <is>
          <t>Come si compila</t>
        </is>
      </c>
      <c r="C7" s="14" t="inlineStr">
        <is>
          <t>Compilate i due fogli in ordine: prima «Invitati», poi «Tavoli». Poi rimandateci il file così com'è (non cambiate nomi dei fogli o l'ordine delle colonne).</t>
        </is>
      </c>
    </row>
    <row r="8" ht="45" customHeight="1">
      <c r="B8" s="13" t="inlineStr">
        <is>
          <t>1 · Foglio «Invitati»</t>
        </is>
      </c>
      <c r="C8" s="14" t="inlineStr">
        <is>
          <t>Una riga per persona: Nome, Cognome, Fascia (Adulto / Bambino / Neonato) e, se serve, Dieta. Mettete una X nelle colonne delle ALLERGIE (rosso) e delle INTOLLERANZE (giallo) che riguardano quella persona. Per tutto il resto usate le due colonne di testo a destra.</t>
        </is>
      </c>
    </row>
    <row r="9" ht="30" customHeight="1">
      <c r="B9" s="13" t="inlineStr">
        <is>
          <t xml:space="preserve">   Fascia</t>
        </is>
      </c>
      <c r="C9" s="14" t="inlineStr">
        <is>
          <t>Adulto · Bambino (circa 3-10 anni) · Neonato (0-2 anni). Bambini e neonati occupano comunque un posto a tavola.</t>
        </is>
      </c>
    </row>
    <row r="10" ht="30" customHeight="1">
      <c r="B10" s="13" t="inlineStr">
        <is>
          <t xml:space="preserve">   Dieta</t>
        </is>
      </c>
      <c r="C10" s="14" t="inlineStr">
        <is>
          <t>Vegetariano · Vegano · Fruttariano · Pescetariano · Crudista · Halal · Kosher. Lasciate vuoto se nessuna.</t>
        </is>
      </c>
    </row>
    <row r="11" ht="30" customHeight="1">
      <c r="B11" s="13" t="inlineStr">
        <is>
          <t xml:space="preserve">   Allergie</t>
        </is>
      </c>
      <c r="C11" s="14" t="inlineStr">
        <is>
          <t>Sono i 14 allergeni a dichiarazione obbligatoria (Reg. UE 1169/2011). Una allergia è un rischio per la salute: segnalatela sempre, anche se lieve.</t>
        </is>
      </c>
    </row>
    <row r="12" ht="30" customHeight="1">
      <c r="B12" s="13" t="inlineStr">
        <is>
          <t xml:space="preserve">   Intolleranze</t>
        </is>
      </c>
      <c r="C12" s="14" t="inlineStr">
        <is>
          <t>Celiachia, lattosio, nichel, istamina, fruttosio, favismo. Se manca la vostra, scrivetela in «Altre allergie / intolleranze».</t>
        </is>
      </c>
    </row>
    <row r="13" ht="45" customHeight="1">
      <c r="B13" s="13" t="inlineStr">
        <is>
          <t>2 · Foglio «Tavoli»</t>
        </is>
      </c>
      <c r="C13" s="14" t="inlineStr">
        <is>
          <t>Per ogni tavolo: scegliete la FORMA (Tondo o Rettangolare/imperiale), indicate il NUMERO DI POSTI e poi, nelle colonne «Posto 1…», scegliete dal menu a tendina il nome dell'invitato (l'elenco si alimenta da «Invitati»).</t>
        </is>
      </c>
    </row>
    <row r="14" ht="30" customHeight="1">
      <c r="B14" s="13" t="inlineStr">
        <is>
          <t xml:space="preserve">   Tavoli tondi</t>
        </is>
      </c>
      <c r="C14" s="14" t="inlineStr">
        <is>
          <t>Da un minimo di 8 a un massimo di 11 persone per tavolo (bambini e neonati compresi). I posti sono numerati in senso orario partendo dal posto 1.</t>
        </is>
      </c>
    </row>
    <row r="15" ht="30" customHeight="1">
      <c r="B15" s="13" t="inlineStr">
        <is>
          <t xml:space="preserve">   Tavoli rettangolari</t>
        </is>
      </c>
      <c r="C15" s="14" t="inlineStr">
        <is>
          <t>I posti si dividono sui due lati lunghi: dal posto 1 si riempie il lato superiore da sinistra a destra (metà posti, +1 se dispari), poi il lato inferiore da sinistra a destra.</t>
        </is>
      </c>
    </row>
    <row r="16" ht="30" customHeight="1">
      <c r="B16" s="13" t="inlineStr">
        <is>
          <t xml:space="preserve">   Controlli automatici</t>
        </is>
      </c>
      <c r="C16" s="14" t="inlineStr">
        <is>
          <t>Colonna «Controllo»: segnala posti liberi / troppi invitati. Un nome ripetuto in due posti diventa rosso. In «Invitati» l'ultima colonna dice se la persona è già assegnata a un tavolo.</t>
        </is>
      </c>
    </row>
    <row r="17" ht="45" customHeight="1">
      <c r="B17" s="13" t="inlineStr">
        <is>
          <t>Scadenze</t>
        </is>
      </c>
      <c r="C17" s="14" t="inlineStr">
        <is>
          <t>Le scelte di allestimento vanno confermate entro la data indicata dal vostro referente. Elenco invitati e tavoli: inviateci una prima versione appena possibile, potrete aggiornarla fino a pochi giorni prima dell'evento.</t>
        </is>
      </c>
    </row>
    <row r="19">
      <c r="B19" s="15" t="inlineStr">
        <is>
          <t>Riepilogo automatico</t>
        </is>
      </c>
    </row>
    <row r="20">
      <c r="B20" s="16" t="inlineStr">
        <is>
          <t>Invitati inseriti</t>
        </is>
      </c>
      <c r="C20" s="17">
        <f>SUMPRODUCT(--(Invitati!$A$2:$A$301&amp;Invitati!$B$2:$B$301&lt;&gt;""))</f>
        <v/>
      </c>
    </row>
    <row r="21">
      <c r="B21" s="16" t="inlineStr">
        <is>
          <t xml:space="preserve">   di cui adulti</t>
        </is>
      </c>
      <c r="C21" s="17">
        <f>COUNTIF(Invitati!$C$2:$C$301,"Adulto")</f>
        <v/>
      </c>
    </row>
    <row r="22">
      <c r="B22" s="16" t="inlineStr">
        <is>
          <t xml:space="preserve">   di cui bambini</t>
        </is>
      </c>
      <c r="C22" s="17">
        <f>COUNTIF(Invitati!$C$2:$C$301,"Bambino")</f>
        <v/>
      </c>
    </row>
    <row r="23">
      <c r="B23" s="16" t="inlineStr">
        <is>
          <t xml:space="preserve">   di cui neonati</t>
        </is>
      </c>
      <c r="C23" s="17">
        <f>COUNTIF(Invitati!$C$2:$C$301,"Neonato")</f>
        <v/>
      </c>
    </row>
    <row r="24">
      <c r="B24" s="16" t="inlineStr">
        <is>
          <t>Tavoli compilati</t>
        </is>
      </c>
      <c r="C24" s="17">
        <f>COUNTIF(Tavoli!$D$2:$D$41,"&gt;0")</f>
        <v/>
      </c>
    </row>
    <row r="25">
      <c r="B25" s="16" t="inlineStr">
        <is>
          <t>Posti totali</t>
        </is>
      </c>
      <c r="C25" s="17">
        <f>SUM(Tavoli!$D$2:$D$41)</f>
        <v/>
      </c>
    </row>
    <row r="26">
      <c r="B26" s="16" t="inlineStr">
        <is>
          <t>Invitati ancora da assegnare</t>
        </is>
      </c>
      <c r="C26" s="17">
        <f>COUNTIF(Invitati!$AB$2:$AB$301,"Da assegnare")</f>
        <v/>
      </c>
    </row>
    <row r="27">
      <c r="B27" s="16" t="inlineStr">
        <is>
          <t>Segnalazioni di allergia (totale X)</t>
        </is>
      </c>
      <c r="C27" s="17">
        <f>COUNTIF(Invitati!$E$2:$R$301,"X")</f>
        <v/>
      </c>
    </row>
    <row r="29">
      <c r="B29" s="18" t="inlineStr">
        <is>
          <t>Per qualsiasi dubbio: info@cateringlastella.com · +39 339 385 8184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2026-10-25T07:04:40Z</dcterms:created>
  <dcterms:modified xmlns:dcterms="http://purl.org/dc/terms/" xmlns:xsi="http://www.w3.org/2001/XMLSchema-instance" xsi:type="dcterms:W3CDTF">2026-10-25T07:04:40Z</dcterms:modified>
</cp:coreProperties>
</file>